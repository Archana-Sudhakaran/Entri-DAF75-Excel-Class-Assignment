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ANA SUDHAKARAN\Documents\Entri\Excel\Workbooks\Assignments\"/>
    </mc:Choice>
  </mc:AlternateContent>
  <xr:revisionPtr revIDLastSave="0" documentId="13_ncr:1_{EC59D62B-EE88-4DFD-9475-FE669751C4A3}" xr6:coauthVersionLast="47" xr6:coauthVersionMax="47" xr10:uidLastSave="{00000000-0000-0000-0000-000000000000}"/>
  <bookViews>
    <workbookView xWindow="-120" yWindow="-120" windowWidth="20730" windowHeight="11160" activeTab="2" xr2:uid="{31E6E991-C3FE-44CF-8124-6CDDF1F05C9D}"/>
  </bookViews>
  <sheets>
    <sheet name="Assignment Question" sheetId="1" r:id="rId1"/>
    <sheet name="Data sheet" sheetId="2" r:id="rId2"/>
    <sheet name="Answershee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2" i="3"/>
  <c r="C41" i="3"/>
  <c r="D3" i="3" l="1" a="1"/>
  <c r="D4" i="3" a="1"/>
  <c r="D5" i="3" a="1"/>
  <c r="D6" i="3" a="1"/>
  <c r="D7" i="3" a="1"/>
  <c r="D8" i="3" a="1"/>
  <c r="D9" i="3" a="1"/>
  <c r="D10" i="3" a="1"/>
  <c r="D11" i="3" a="1"/>
  <c r="D12" i="3" a="1"/>
  <c r="D13" i="3" a="1"/>
  <c r="D14" i="3" a="1"/>
  <c r="D15" i="3" a="1"/>
  <c r="D16" i="3" a="1"/>
  <c r="D17" i="3" a="1"/>
  <c r="D18" i="3" a="1"/>
  <c r="D19" i="3" a="1"/>
  <c r="D20" i="3" a="1"/>
  <c r="D21" i="3" a="1"/>
  <c r="D22" i="3" a="1"/>
  <c r="D23" i="3" a="1"/>
  <c r="D24" i="3" a="1"/>
  <c r="D25" i="3" a="1"/>
  <c r="D26" i="3" a="1"/>
  <c r="D27" i="3" a="1"/>
  <c r="D28" i="3" a="1"/>
  <c r="D29" i="3" a="1"/>
  <c r="D30" i="3" a="1"/>
  <c r="D31" i="3" a="1"/>
  <c r="D32" i="3" a="1"/>
  <c r="D33" i="3" a="1"/>
  <c r="D34" i="3" a="1"/>
  <c r="D35" i="3" a="1"/>
  <c r="D42" i="3"/>
  <c r="C49" i="3"/>
  <c r="G2" i="3" a="1"/>
  <c r="C50" i="3"/>
  <c r="C45" i="3"/>
  <c r="C44" i="3"/>
  <c r="C42" i="3"/>
  <c r="C4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<sst xmlns="http://schemas.openxmlformats.org/spreadsheetml/2006/main" count="321" uniqueCount="130">
  <si>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</si>
  <si>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</si>
  <si>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</si>
  <si>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</si>
  <si>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</si>
  <si>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</si>
  <si>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</si>
  <si>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</si>
  <si>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</si>
  <si>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</si>
  <si>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</si>
  <si>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</si>
  <si>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</si>
  <si>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</si>
  <si>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</si>
  <si>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</si>
  <si>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</si>
  <si>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</si>
  <si>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</si>
  <si>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</si>
  <si>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</si>
  <si>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</si>
  <si>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</si>
  <si>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</si>
  <si>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</si>
  <si>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</si>
  <si>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</si>
  <si>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</si>
  <si>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</si>
  <si>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</si>
  <si>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</si>
  <si>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</si>
  <si>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</si>
  <si>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</si>
  <si>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</si>
  <si>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</si>
  <si>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</si>
  <si>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</si>
  <si>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</si>
  <si>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</si>
  <si>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</si>
  <si>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</si>
  <si>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</si>
  <si>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</si>
  <si>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</si>
  <si>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</si>
  <si>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</si>
  <si>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</si>
  <si>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</si>
  <si>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</si>
  <si>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</si>
  <si>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</si>
  <si>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</si>
  <si>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</si>
  <si>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</si>
  <si>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</si>
  <si>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</si>
  <si>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</si>
  <si>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</si>
  <si>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</si>
  <si>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</si>
  <si>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</si>
  <si>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</si>
  <si>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</si>
  <si>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</si>
  <si>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</si>
  <si>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</si>
  <si>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</si>
  <si>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</si>
  <si>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</si>
  <si>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</si>
  <si>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</si>
  <si>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</si>
  <si>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</si>
  <si>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</si>
  <si>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</si>
  <si>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</si>
  <si>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</si>
  <si>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</si>
  <si>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</si>
  <si>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</si>
  <si>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</si>
  <si>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</si>
  <si>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</si>
  <si>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</si>
  <si>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</si>
  <si>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</si>
  <si>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</si>
  <si>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</si>
  <si>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</si>
  <si>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</si>
  <si>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</si>
  <si>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</si>
  <si>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</si>
  <si>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</si>
  <si>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</si>
  <si>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</si>
  <si>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</si>
  <si>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</si>
  <si>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</si>
  <si>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</si>
  <si>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</si>
  <si>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</si>
  <si>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</si>
  <si>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</si>
  <si>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</si>
  <si>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</si>
  <si>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</si>
  <si>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</si>
  <si>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</si>
  <si>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</t>
  </si>
  <si>
    <t>a.Total</t>
  </si>
  <si>
    <t>b.count</t>
  </si>
  <si>
    <t>c.Average</t>
  </si>
  <si>
    <t>2)</t>
  </si>
  <si>
    <t>a.Minimum</t>
  </si>
  <si>
    <t>b.maximum</t>
  </si>
  <si>
    <t>3)</t>
  </si>
  <si>
    <t>Price Range</t>
  </si>
  <si>
    <t>a.price Range using "IF"</t>
  </si>
  <si>
    <t>&gt;=500,"High price","standard"</t>
  </si>
  <si>
    <t>4)</t>
  </si>
  <si>
    <t>5)Text Formatting</t>
  </si>
  <si>
    <t>Day (left)</t>
  </si>
  <si>
    <t>Country Code (right)</t>
  </si>
  <si>
    <t>Month (mid)</t>
  </si>
  <si>
    <t>a.sumif, total</t>
  </si>
  <si>
    <t>b.countif, &lt;100</t>
  </si>
  <si>
    <t>(table)</t>
  </si>
  <si>
    <t>a.left,right,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</si>
</sst>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6B1A4-FF0C-4983-8115-B0613126FA9A}">
  <dimension ref="A1:N24"/>
  <sheetViews>
    <sheetView workbookViewId="0">
      <selection activeCell="I3" sqref="I3"/>
    </sheetView>
  </sheetViews>
  <sheetFormatPr defaultRowHeight="15" x14ac:dyDescent="0.25"/>
  <sheetData>
    <row r="1" spans="1:14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.75" x14ac:dyDescent="0.25">
      <c r="A3" s="2"/>
      <c r="B3" s="3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ht="15.75" x14ac:dyDescent="0.25">
      <c r="A4" s="2"/>
      <c r="B4" s="2"/>
      <c r="C4" s="4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ht="15.75" x14ac:dyDescent="0.25">
      <c r="A5" s="2"/>
      <c r="B5" s="2"/>
      <c r="C5" s="4" t="s">
        <v>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15.75" x14ac:dyDescent="0.25">
      <c r="A6" s="2"/>
      <c r="B6" s="2"/>
      <c r="C6" s="4" t="s">
        <v>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15.75" x14ac:dyDescent="0.25">
      <c r="A8" s="2"/>
      <c r="B8" s="3" t="s">
        <v>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15.75" x14ac:dyDescent="0.25">
      <c r="A9" s="2"/>
      <c r="B9" s="2"/>
      <c r="C9" s="4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15.75" x14ac:dyDescent="0.25">
      <c r="A10" s="2"/>
      <c r="B10" s="2"/>
      <c r="C10" s="4" t="s">
        <v>7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15.75" x14ac:dyDescent="0.25">
      <c r="A12" s="2"/>
      <c r="B12" s="3" t="s">
        <v>8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15.75" x14ac:dyDescent="0.25">
      <c r="A13" s="2"/>
      <c r="B13" s="2"/>
      <c r="C13" s="4" t="s">
        <v>9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15.75" x14ac:dyDescent="0.25">
      <c r="A15" s="2"/>
      <c r="B15" s="3" t="s">
        <v>10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15.75" x14ac:dyDescent="0.25">
      <c r="A16" s="2"/>
      <c r="B16" s="2"/>
      <c r="C16" s="4" t="s">
        <v>11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15.75" x14ac:dyDescent="0.25">
      <c r="A17" s="2"/>
      <c r="B17" s="2"/>
      <c r="C17" s="4" t="s">
        <v>12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15.75" x14ac:dyDescent="0.25">
      <c r="A19" s="2"/>
      <c r="B19" s="3" t="s">
        <v>13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15.75" x14ac:dyDescent="0.25">
      <c r="A20" s="2"/>
      <c r="B20" s="2"/>
      <c r="C20" s="4" t="s">
        <v>14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15.75" x14ac:dyDescent="0.25">
      <c r="A21" s="2"/>
      <c r="B21" s="2"/>
      <c r="C21" s="4" t="s">
        <v>15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15.75" x14ac:dyDescent="0.25">
      <c r="A22" s="2"/>
      <c r="B22" s="2"/>
      <c r="C22" s="4" t="s">
        <v>16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B1A8-46ED-4E87-B45A-F52F9369BBF4}">
  <dimension ref="A1:G36"/>
  <sheetViews>
    <sheetView topLeftCell="A5" workbookViewId="0">
      <selection activeCell="G1" sqref="G1"/>
    </sheetView>
  </sheetViews>
  <sheetFormatPr defaultRowHeight="15" x14ac:dyDescent="0.25"/>
  <cols>
    <col min="1" max="1" width="10.85546875" bestFit="1" customWidth="1"/>
    <col min="2" max="2" width="12" customWidth="1"/>
    <col min="3" max="3" width="10.7109375" customWidth="1"/>
    <col min="6" max="6" width="13.42578125" customWidth="1"/>
  </cols>
  <sheetData>
    <row r="1" spans="1:7" ht="27" thickBo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/>
    </row>
    <row r="2" spans="1:7" ht="27" thickBot="1" x14ac:dyDescent="0.3">
      <c r="A2" s="6" t="s">
        <v>23</v>
      </c>
      <c r="B2" s="6" t="s">
        <v>24</v>
      </c>
      <c r="C2" s="6" t="s">
        <v>25</v>
      </c>
      <c r="D2" s="7">
        <v>1000</v>
      </c>
      <c r="E2" s="7">
        <v>30</v>
      </c>
      <c r="F2" s="6" t="s">
        <v>26</v>
      </c>
      <c r="G2" s="6"/>
    </row>
    <row r="3" spans="1:7" ht="27" thickBot="1" x14ac:dyDescent="0.3">
      <c r="A3" s="8" t="s">
        <v>27</v>
      </c>
      <c r="B3" s="8" t="s">
        <v>28</v>
      </c>
      <c r="C3" s="8" t="s">
        <v>29</v>
      </c>
      <c r="D3" s="9">
        <v>80</v>
      </c>
      <c r="E3" s="9">
        <v>15</v>
      </c>
      <c r="F3" s="8" t="s">
        <v>30</v>
      </c>
      <c r="G3" s="6"/>
    </row>
    <row r="4" spans="1:7" ht="27" thickBot="1" x14ac:dyDescent="0.3">
      <c r="A4" s="6" t="s">
        <v>31</v>
      </c>
      <c r="B4" s="6" t="s">
        <v>32</v>
      </c>
      <c r="C4" s="6" t="s">
        <v>33</v>
      </c>
      <c r="D4" s="7">
        <v>130</v>
      </c>
      <c r="E4" s="7">
        <v>40</v>
      </c>
      <c r="F4" s="6" t="s">
        <v>34</v>
      </c>
      <c r="G4" s="6"/>
    </row>
    <row r="5" spans="1:7" ht="27" thickBot="1" x14ac:dyDescent="0.3">
      <c r="A5" s="8" t="s">
        <v>35</v>
      </c>
      <c r="B5" s="8" t="s">
        <v>36</v>
      </c>
      <c r="C5" s="8" t="s">
        <v>37</v>
      </c>
      <c r="D5" s="9">
        <v>900</v>
      </c>
      <c r="E5" s="9">
        <v>25</v>
      </c>
      <c r="F5" s="8" t="s">
        <v>26</v>
      </c>
      <c r="G5" s="6"/>
    </row>
    <row r="6" spans="1:7" ht="27" thickBot="1" x14ac:dyDescent="0.3">
      <c r="A6" s="6" t="s">
        <v>38</v>
      </c>
      <c r="B6" s="6" t="s">
        <v>39</v>
      </c>
      <c r="C6" s="6" t="s">
        <v>40</v>
      </c>
      <c r="D6" s="7">
        <v>70</v>
      </c>
      <c r="E6" s="7">
        <v>20</v>
      </c>
      <c r="F6" s="6" t="s">
        <v>41</v>
      </c>
      <c r="G6" s="6"/>
    </row>
    <row r="7" spans="1:7" ht="27" thickBot="1" x14ac:dyDescent="0.3">
      <c r="A7" s="8" t="s">
        <v>42</v>
      </c>
      <c r="B7" s="8" t="s">
        <v>43</v>
      </c>
      <c r="C7" s="8" t="s">
        <v>44</v>
      </c>
      <c r="D7" s="9">
        <v>200</v>
      </c>
      <c r="E7" s="9">
        <v>45</v>
      </c>
      <c r="F7" s="8" t="s">
        <v>26</v>
      </c>
      <c r="G7" s="6"/>
    </row>
    <row r="8" spans="1:7" ht="27" thickBot="1" x14ac:dyDescent="0.3">
      <c r="A8" s="6" t="s">
        <v>45</v>
      </c>
      <c r="B8" s="6" t="s">
        <v>46</v>
      </c>
      <c r="C8" s="6" t="s">
        <v>47</v>
      </c>
      <c r="D8" s="7">
        <v>30</v>
      </c>
      <c r="E8" s="7">
        <v>5</v>
      </c>
      <c r="F8" s="6" t="s">
        <v>30</v>
      </c>
      <c r="G8" s="6"/>
    </row>
    <row r="9" spans="1:7" ht="27" thickBot="1" x14ac:dyDescent="0.3">
      <c r="A9" s="8" t="s">
        <v>48</v>
      </c>
      <c r="B9" s="8" t="s">
        <v>49</v>
      </c>
      <c r="C9" s="8" t="s">
        <v>50</v>
      </c>
      <c r="D9" s="9">
        <v>90</v>
      </c>
      <c r="E9" s="9">
        <v>35</v>
      </c>
      <c r="F9" s="8" t="s">
        <v>34</v>
      </c>
      <c r="G9" s="6"/>
    </row>
    <row r="10" spans="1:7" ht="27" thickBot="1" x14ac:dyDescent="0.3">
      <c r="A10" s="6" t="s">
        <v>51</v>
      </c>
      <c r="B10" s="6" t="s">
        <v>52</v>
      </c>
      <c r="C10" s="6" t="s">
        <v>53</v>
      </c>
      <c r="D10" s="7">
        <v>500</v>
      </c>
      <c r="E10" s="7">
        <v>50</v>
      </c>
      <c r="F10" s="6" t="s">
        <v>26</v>
      </c>
      <c r="G10" s="6"/>
    </row>
    <row r="11" spans="1:7" ht="27" thickBot="1" x14ac:dyDescent="0.3">
      <c r="A11" s="8" t="s">
        <v>54</v>
      </c>
      <c r="B11" s="8" t="s">
        <v>55</v>
      </c>
      <c r="C11" s="8" t="s">
        <v>56</v>
      </c>
      <c r="D11" s="9">
        <v>130</v>
      </c>
      <c r="E11" s="9">
        <v>10</v>
      </c>
      <c r="F11" s="8" t="s">
        <v>41</v>
      </c>
      <c r="G11" s="6"/>
    </row>
    <row r="12" spans="1:7" ht="27" thickBot="1" x14ac:dyDescent="0.3">
      <c r="A12" s="6" t="s">
        <v>57</v>
      </c>
      <c r="B12" s="6" t="s">
        <v>24</v>
      </c>
      <c r="C12" s="6" t="s">
        <v>58</v>
      </c>
      <c r="D12" s="7">
        <v>950</v>
      </c>
      <c r="E12" s="7">
        <v>25</v>
      </c>
      <c r="F12" s="6" t="s">
        <v>26</v>
      </c>
      <c r="G12" s="6"/>
    </row>
    <row r="13" spans="1:7" ht="27" thickBot="1" x14ac:dyDescent="0.3">
      <c r="A13" s="8" t="s">
        <v>59</v>
      </c>
      <c r="B13" s="8" t="s">
        <v>28</v>
      </c>
      <c r="C13" s="8" t="s">
        <v>47</v>
      </c>
      <c r="D13" s="9">
        <v>90</v>
      </c>
      <c r="E13" s="9">
        <v>40</v>
      </c>
      <c r="F13" s="8" t="s">
        <v>30</v>
      </c>
      <c r="G13" s="6"/>
    </row>
    <row r="14" spans="1:7" ht="27" thickBot="1" x14ac:dyDescent="0.3">
      <c r="A14" s="6" t="s">
        <v>60</v>
      </c>
      <c r="B14" s="6" t="s">
        <v>32</v>
      </c>
      <c r="C14" s="6" t="s">
        <v>61</v>
      </c>
      <c r="D14" s="7">
        <v>120</v>
      </c>
      <c r="E14" s="7">
        <v>35</v>
      </c>
      <c r="F14" s="6" t="s">
        <v>34</v>
      </c>
      <c r="G14" s="6"/>
    </row>
    <row r="15" spans="1:7" ht="15.75" thickBot="1" x14ac:dyDescent="0.3">
      <c r="A15" s="8" t="s">
        <v>62</v>
      </c>
      <c r="B15" s="8" t="s">
        <v>63</v>
      </c>
      <c r="C15" s="8" t="s">
        <v>64</v>
      </c>
      <c r="D15" s="9">
        <v>150</v>
      </c>
      <c r="E15" s="9">
        <v>15</v>
      </c>
      <c r="F15" s="8" t="s">
        <v>26</v>
      </c>
      <c r="G15" s="6"/>
    </row>
    <row r="16" spans="1:7" ht="15.75" thickBot="1" x14ac:dyDescent="0.3">
      <c r="A16" s="6" t="s">
        <v>65</v>
      </c>
      <c r="B16" s="6" t="s">
        <v>43</v>
      </c>
      <c r="C16" s="6" t="s">
        <v>66</v>
      </c>
      <c r="D16" s="7">
        <v>250</v>
      </c>
      <c r="E16" s="7">
        <v>20</v>
      </c>
      <c r="F16" s="6" t="s">
        <v>26</v>
      </c>
      <c r="G16" s="6"/>
    </row>
    <row r="17" spans="1:7" ht="15.75" thickBot="1" x14ac:dyDescent="0.3">
      <c r="A17" s="8" t="s">
        <v>67</v>
      </c>
      <c r="B17" s="8" t="s">
        <v>68</v>
      </c>
      <c r="C17" s="8" t="s">
        <v>69</v>
      </c>
      <c r="D17" s="9">
        <v>50</v>
      </c>
      <c r="E17" s="9">
        <v>35</v>
      </c>
      <c r="F17" s="8" t="s">
        <v>70</v>
      </c>
      <c r="G17" s="6"/>
    </row>
    <row r="18" spans="1:7" ht="15.75" thickBot="1" x14ac:dyDescent="0.3">
      <c r="A18" s="6" t="s">
        <v>71</v>
      </c>
      <c r="B18" s="6" t="s">
        <v>63</v>
      </c>
      <c r="C18" s="6" t="s">
        <v>72</v>
      </c>
      <c r="D18" s="7">
        <v>160</v>
      </c>
      <c r="E18" s="7">
        <v>15</v>
      </c>
      <c r="F18" s="6" t="s">
        <v>26</v>
      </c>
      <c r="G18" s="6"/>
    </row>
    <row r="19" spans="1:7" ht="15.75" thickBot="1" x14ac:dyDescent="0.3">
      <c r="A19" s="8" t="s">
        <v>73</v>
      </c>
      <c r="B19" s="8" t="s">
        <v>24</v>
      </c>
      <c r="C19" s="8" t="s">
        <v>74</v>
      </c>
      <c r="D19" s="9">
        <v>980</v>
      </c>
      <c r="E19" s="9">
        <v>10</v>
      </c>
      <c r="F19" s="8" t="s">
        <v>26</v>
      </c>
      <c r="G19" s="6"/>
    </row>
    <row r="20" spans="1:7" ht="15.75" thickBot="1" x14ac:dyDescent="0.3">
      <c r="A20" s="6" t="s">
        <v>75</v>
      </c>
      <c r="B20" s="6" t="s">
        <v>76</v>
      </c>
      <c r="C20" s="6" t="s">
        <v>77</v>
      </c>
      <c r="D20" s="7">
        <v>150</v>
      </c>
      <c r="E20" s="7">
        <v>15</v>
      </c>
      <c r="F20" s="6" t="s">
        <v>30</v>
      </c>
      <c r="G20" s="6"/>
    </row>
    <row r="21" spans="1:7" ht="27" thickBot="1" x14ac:dyDescent="0.3">
      <c r="A21" s="8" t="s">
        <v>78</v>
      </c>
      <c r="B21" s="8" t="s">
        <v>79</v>
      </c>
      <c r="C21" s="8" t="s">
        <v>80</v>
      </c>
      <c r="D21" s="9">
        <v>200</v>
      </c>
      <c r="E21" s="9">
        <v>10</v>
      </c>
      <c r="F21" s="8" t="s">
        <v>41</v>
      </c>
      <c r="G21" s="6"/>
    </row>
    <row r="22" spans="1:7" ht="15.75" thickBot="1" x14ac:dyDescent="0.3">
      <c r="A22" s="6" t="s">
        <v>81</v>
      </c>
      <c r="B22" s="6" t="s">
        <v>82</v>
      </c>
      <c r="C22" s="6" t="s">
        <v>83</v>
      </c>
      <c r="D22" s="7">
        <v>700</v>
      </c>
      <c r="E22" s="7">
        <v>50</v>
      </c>
      <c r="F22" s="6" t="s">
        <v>26</v>
      </c>
      <c r="G22" s="6"/>
    </row>
    <row r="23" spans="1:7" ht="15.75" thickBot="1" x14ac:dyDescent="0.3">
      <c r="A23" s="8" t="s">
        <v>84</v>
      </c>
      <c r="B23" s="8" t="s">
        <v>85</v>
      </c>
      <c r="C23" s="8" t="s">
        <v>86</v>
      </c>
      <c r="D23" s="9">
        <v>80</v>
      </c>
      <c r="E23" s="9">
        <v>20</v>
      </c>
      <c r="F23" s="8" t="s">
        <v>34</v>
      </c>
      <c r="G23" s="6"/>
    </row>
    <row r="24" spans="1:7" ht="27" thickBot="1" x14ac:dyDescent="0.3">
      <c r="A24" s="6" t="s">
        <v>87</v>
      </c>
      <c r="B24" s="6" t="s">
        <v>88</v>
      </c>
      <c r="C24" s="6" t="s">
        <v>89</v>
      </c>
      <c r="D24" s="7">
        <v>150</v>
      </c>
      <c r="E24" s="7">
        <v>30</v>
      </c>
      <c r="F24" s="6" t="s">
        <v>26</v>
      </c>
      <c r="G24" s="6"/>
    </row>
    <row r="25" spans="1:7" ht="15.75" thickBot="1" x14ac:dyDescent="0.3">
      <c r="A25" s="8" t="s">
        <v>67</v>
      </c>
      <c r="B25" s="8" t="s">
        <v>68</v>
      </c>
      <c r="C25" s="8" t="s">
        <v>69</v>
      </c>
      <c r="D25" s="9">
        <v>50</v>
      </c>
      <c r="E25" s="9">
        <v>35</v>
      </c>
      <c r="F25" s="8" t="s">
        <v>70</v>
      </c>
      <c r="G25" s="10"/>
    </row>
    <row r="26" spans="1:7" ht="15.75" thickBot="1" x14ac:dyDescent="0.3">
      <c r="A26" s="6" t="s">
        <v>90</v>
      </c>
      <c r="B26" s="6" t="s">
        <v>36</v>
      </c>
      <c r="C26" s="6" t="s">
        <v>91</v>
      </c>
      <c r="D26" s="7">
        <v>800</v>
      </c>
      <c r="E26" s="7">
        <v>45</v>
      </c>
      <c r="F26" s="6" t="s">
        <v>26</v>
      </c>
      <c r="G26" s="6"/>
    </row>
    <row r="27" spans="1:7" ht="15.75" thickBot="1" x14ac:dyDescent="0.3">
      <c r="A27" s="8" t="s">
        <v>92</v>
      </c>
      <c r="B27" s="8" t="s">
        <v>76</v>
      </c>
      <c r="C27" s="8" t="s">
        <v>93</v>
      </c>
      <c r="D27" s="9">
        <v>130</v>
      </c>
      <c r="E27" s="9">
        <v>25</v>
      </c>
      <c r="F27" s="8" t="s">
        <v>30</v>
      </c>
      <c r="G27" s="6"/>
    </row>
    <row r="28" spans="1:7" ht="15.75" thickBot="1" x14ac:dyDescent="0.3">
      <c r="A28" s="6" t="s">
        <v>94</v>
      </c>
      <c r="B28" s="6" t="s">
        <v>49</v>
      </c>
      <c r="C28" s="6" t="s">
        <v>95</v>
      </c>
      <c r="D28" s="7">
        <v>400</v>
      </c>
      <c r="E28" s="7">
        <v>40</v>
      </c>
      <c r="F28" s="6" t="s">
        <v>34</v>
      </c>
      <c r="G28" s="6"/>
    </row>
    <row r="29" spans="1:7" ht="15.75" thickBot="1" x14ac:dyDescent="0.3">
      <c r="A29" s="8" t="s">
        <v>65</v>
      </c>
      <c r="B29" s="8" t="s">
        <v>43</v>
      </c>
      <c r="C29" s="8" t="s">
        <v>66</v>
      </c>
      <c r="D29" s="9">
        <v>230</v>
      </c>
      <c r="E29" s="9">
        <v>20</v>
      </c>
      <c r="F29" s="8" t="s">
        <v>26</v>
      </c>
      <c r="G29" s="10"/>
    </row>
    <row r="30" spans="1:7" ht="15.75" thickBot="1" x14ac:dyDescent="0.3">
      <c r="A30" s="6" t="s">
        <v>96</v>
      </c>
      <c r="B30" s="6" t="s">
        <v>97</v>
      </c>
      <c r="C30" s="6" t="s">
        <v>98</v>
      </c>
      <c r="D30" s="7">
        <v>60</v>
      </c>
      <c r="E30" s="7">
        <v>30</v>
      </c>
      <c r="F30" s="6" t="s">
        <v>30</v>
      </c>
      <c r="G30" s="6"/>
    </row>
    <row r="31" spans="1:7" ht="15.75" thickBot="1" x14ac:dyDescent="0.3">
      <c r="A31" s="8" t="s">
        <v>99</v>
      </c>
      <c r="B31" s="8" t="s">
        <v>100</v>
      </c>
      <c r="C31" s="8" t="s">
        <v>101</v>
      </c>
      <c r="D31" s="9">
        <v>40</v>
      </c>
      <c r="E31" s="9">
        <v>10</v>
      </c>
      <c r="F31" s="8" t="s">
        <v>34</v>
      </c>
      <c r="G31" s="6"/>
    </row>
    <row r="32" spans="1:7" ht="27" thickBot="1" x14ac:dyDescent="0.3">
      <c r="A32" s="6" t="s">
        <v>102</v>
      </c>
      <c r="B32" s="6" t="s">
        <v>88</v>
      </c>
      <c r="C32" s="6" t="s">
        <v>103</v>
      </c>
      <c r="D32" s="7">
        <v>130</v>
      </c>
      <c r="E32" s="7">
        <v>5</v>
      </c>
      <c r="F32" s="6" t="s">
        <v>26</v>
      </c>
      <c r="G32" s="6"/>
    </row>
    <row r="33" spans="1:7" ht="15.75" thickBot="1" x14ac:dyDescent="0.3">
      <c r="A33" s="8" t="s">
        <v>104</v>
      </c>
      <c r="B33" s="8" t="s">
        <v>105</v>
      </c>
      <c r="C33" s="8" t="s">
        <v>106</v>
      </c>
      <c r="D33" s="9">
        <v>50</v>
      </c>
      <c r="E33" s="9">
        <v>50</v>
      </c>
      <c r="F33" s="8" t="s">
        <v>30</v>
      </c>
      <c r="G33" s="6"/>
    </row>
    <row r="34" spans="1:7" ht="15.75" thickBot="1" x14ac:dyDescent="0.3">
      <c r="A34" s="6" t="s">
        <v>57</v>
      </c>
      <c r="B34" s="6" t="s">
        <v>24</v>
      </c>
      <c r="C34" s="6" t="s">
        <v>58</v>
      </c>
      <c r="D34" s="7">
        <v>950</v>
      </c>
      <c r="E34" s="7">
        <v>25</v>
      </c>
      <c r="F34" s="6" t="s">
        <v>26</v>
      </c>
      <c r="G34" s="6"/>
    </row>
    <row r="35" spans="1:7" ht="15.75" thickBot="1" x14ac:dyDescent="0.3">
      <c r="A35" s="8" t="s">
        <v>107</v>
      </c>
      <c r="B35" s="8" t="s">
        <v>108</v>
      </c>
      <c r="C35" s="8" t="s">
        <v>109</v>
      </c>
      <c r="D35" s="9">
        <v>100</v>
      </c>
      <c r="E35" s="9">
        <v>20</v>
      </c>
      <c r="F35" s="8" t="s">
        <v>70</v>
      </c>
      <c r="G35" s="6"/>
    </row>
    <row r="36" spans="1:7" ht="15.75" thickBot="1" x14ac:dyDescent="0.3">
      <c r="A36" s="6"/>
      <c r="B36" s="6"/>
      <c r="C36" s="6"/>
      <c r="D36" s="6"/>
      <c r="E36" s="6"/>
      <c r="F36" s="6"/>
      <c r="G36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8EF04-DC88-42CE-B76D-86E1B0CEA069}">
  <dimension ref="A1:J52"/>
  <sheetViews>
    <sheetView tabSelected="1" topLeftCell="A42" workbookViewId="0">
      <selection activeCell="F42" sqref="F42"/>
    </sheetView>
  </sheetViews>
  <sheetFormatPr defaultRowHeight="15" x14ac:dyDescent="0.25"/>
  <cols>
    <col min="1" max="1" width="16.28515625" bestFit="1" customWidth="1"/>
    <col min="2" max="2" width="22.140625" bestFit="1" customWidth="1"/>
    <col min="3" max="3" width="27.42578125" bestFit="1" customWidth="1"/>
    <col min="4" max="4" width="8.42578125" bestFit="1" customWidth="1"/>
    <col min="5" max="5" width="8.5703125" bestFit="1" customWidth="1"/>
    <col min="6" max="6" width="12.28515625" customWidth="1"/>
    <col min="7" max="7" width="13.42578125" customWidth="1"/>
    <col min="9" max="9" width="16" customWidth="1"/>
  </cols>
  <sheetData>
    <row r="1" spans="1:10" ht="27" thickBot="1" x14ac:dyDescent="0.3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6" t="s">
        <v>118</v>
      </c>
      <c r="H1" s="11" t="s">
        <v>123</v>
      </c>
      <c r="I1" s="11" t="s">
        <v>124</v>
      </c>
      <c r="J1" s="11" t="s">
        <v>125</v>
      </c>
    </row>
    <row r="2" spans="1:10" ht="15.75" thickBot="1" x14ac:dyDescent="0.3">
      <c r="A2" s="6" t="s">
        <v>23</v>
      </c>
      <c r="B2" s="6" t="s">
        <v>24</v>
      </c>
      <c r="C2" s="6" t="s">
        <v>25</v>
      </c>
      <c r="D2" s="7">
        <v>1000</v>
      </c>
      <c r="E2" s="7">
        <v>30</v>
      </c>
      <c r="F2" s="6" t="s">
        <v>26</v>
      </c>
      <c r="G2" s="6" t="str" cm="1">
        <f t="array" aca="1" ref="G2:G35" ca="1">IF(D2:D35&gt;=500,"High Price","Standard")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0" ht="15.75" thickBot="1" x14ac:dyDescent="0.3">
      <c r="A3" s="8" t="s">
        <v>27</v>
      </c>
      <c r="B3" s="8" t="s">
        <v>28</v>
      </c>
      <c r="C3" s="8" t="s">
        <v>29</v>
      </c>
      <c r="D3" s="9" cm="1">
        <f t="array" aca="1" ref="D3" ca="1">+E10+D2:D3</f>
        <v>0</v>
      </c>
      <c r="E3" s="9">
        <v>15</v>
      </c>
      <c r="F3" s="8" t="s">
        <v>30</v>
      </c>
      <c r="G3" s="6" t="str">
        <f ca="1"/>
        <v>Standard</v>
      </c>
      <c r="H3" t="str">
        <f t="shared" ref="H3:H35" si="0">LEFT(A3,2)</f>
        <v>15</v>
      </c>
      <c r="I3" t="str">
        <f t="shared" ref="I3:I35" si="1">RIGHT(A3,2)</f>
        <v>US</v>
      </c>
      <c r="J3" t="str">
        <f t="shared" ref="J3:J35" si="2">MID(A3,4,3)</f>
        <v>FEB</v>
      </c>
    </row>
    <row r="4" spans="1:10" ht="15.75" thickBot="1" x14ac:dyDescent="0.3">
      <c r="A4" s="6" t="s">
        <v>31</v>
      </c>
      <c r="B4" s="6" t="s">
        <v>32</v>
      </c>
      <c r="C4" s="6" t="s">
        <v>33</v>
      </c>
      <c r="D4" s="7" cm="1">
        <f t="array" aca="1" ref="D4" ca="1">+E11+D2:D4</f>
        <v>0</v>
      </c>
      <c r="E4" s="7">
        <v>40</v>
      </c>
      <c r="F4" s="6" t="s">
        <v>34</v>
      </c>
      <c r="G4" s="6" t="str">
        <f ca="1"/>
        <v>Standard</v>
      </c>
      <c r="H4" t="str">
        <f t="shared" si="0"/>
        <v>03</v>
      </c>
      <c r="I4" t="str">
        <f t="shared" si="1"/>
        <v>US</v>
      </c>
      <c r="J4" t="str">
        <f t="shared" si="2"/>
        <v>MAR</v>
      </c>
    </row>
    <row r="5" spans="1:10" ht="15.75" thickBot="1" x14ac:dyDescent="0.3">
      <c r="A5" s="8" t="s">
        <v>35</v>
      </c>
      <c r="B5" s="8" t="s">
        <v>36</v>
      </c>
      <c r="C5" s="8" t="s">
        <v>37</v>
      </c>
      <c r="D5" s="9" cm="1">
        <f t="array" aca="1" ref="D5" ca="1">+E12+D2:D5</f>
        <v>0</v>
      </c>
      <c r="E5" s="9">
        <v>25</v>
      </c>
      <c r="F5" s="8" t="s">
        <v>26</v>
      </c>
      <c r="G5" s="6" t="str">
        <f ca="1"/>
        <v>High Price</v>
      </c>
      <c r="H5" t="str">
        <f t="shared" si="0"/>
        <v>11</v>
      </c>
      <c r="I5" t="str">
        <f t="shared" si="1"/>
        <v>US</v>
      </c>
      <c r="J5" t="str">
        <f t="shared" si="2"/>
        <v>APR</v>
      </c>
    </row>
    <row r="6" spans="1:10" ht="15.75" thickBot="1" x14ac:dyDescent="0.3">
      <c r="A6" s="6" t="s">
        <v>38</v>
      </c>
      <c r="B6" s="6" t="s">
        <v>39</v>
      </c>
      <c r="C6" s="6" t="s">
        <v>40</v>
      </c>
      <c r="D6" s="7" cm="1">
        <f t="array" aca="1" ref="D6" ca="1">+E13+D2:D6</f>
        <v>0</v>
      </c>
      <c r="E6" s="7">
        <v>20</v>
      </c>
      <c r="F6" s="6" t="s">
        <v>41</v>
      </c>
      <c r="G6" s="6" t="str">
        <f ca="1"/>
        <v>Standard</v>
      </c>
      <c r="H6" t="str">
        <f t="shared" si="0"/>
        <v>22</v>
      </c>
      <c r="I6" t="str">
        <f t="shared" si="1"/>
        <v>US</v>
      </c>
      <c r="J6" t="str">
        <f t="shared" si="2"/>
        <v>MAY</v>
      </c>
    </row>
    <row r="7" spans="1:10" ht="15.75" thickBot="1" x14ac:dyDescent="0.3">
      <c r="A7" s="8" t="s">
        <v>42</v>
      </c>
      <c r="B7" s="8" t="s">
        <v>43</v>
      </c>
      <c r="C7" s="8" t="s">
        <v>44</v>
      </c>
      <c r="D7" s="9" cm="1">
        <f t="array" aca="1" ref="D7" ca="1">+E14+D2:D7</f>
        <v>0</v>
      </c>
      <c r="E7" s="9">
        <v>45</v>
      </c>
      <c r="F7" s="8" t="s">
        <v>26</v>
      </c>
      <c r="G7" s="6" t="str">
        <f ca="1"/>
        <v>Standard</v>
      </c>
      <c r="H7" t="str">
        <f t="shared" si="0"/>
        <v>07</v>
      </c>
      <c r="I7" t="str">
        <f t="shared" si="1"/>
        <v>UK</v>
      </c>
      <c r="J7" t="str">
        <f t="shared" si="2"/>
        <v>JUN</v>
      </c>
    </row>
    <row r="8" spans="1:10" ht="15.75" thickBot="1" x14ac:dyDescent="0.3">
      <c r="A8" s="6" t="s">
        <v>45</v>
      </c>
      <c r="B8" s="6" t="s">
        <v>46</v>
      </c>
      <c r="C8" s="6" t="s">
        <v>47</v>
      </c>
      <c r="D8" s="7" cm="1">
        <f t="array" aca="1" ref="D8" ca="1">+E15+D2:D8</f>
        <v>0</v>
      </c>
      <c r="E8" s="7">
        <v>5</v>
      </c>
      <c r="F8" s="6" t="s">
        <v>30</v>
      </c>
      <c r="G8" s="6" t="str">
        <f ca="1"/>
        <v>Standard</v>
      </c>
      <c r="H8" t="str">
        <f t="shared" si="0"/>
        <v>19</v>
      </c>
      <c r="I8" t="str">
        <f t="shared" si="1"/>
        <v>UK</v>
      </c>
      <c r="J8" t="str">
        <f t="shared" si="2"/>
        <v>JUL</v>
      </c>
    </row>
    <row r="9" spans="1:10" ht="15.75" thickBot="1" x14ac:dyDescent="0.3">
      <c r="A9" s="8" t="s">
        <v>48</v>
      </c>
      <c r="B9" s="8" t="s">
        <v>49</v>
      </c>
      <c r="C9" s="8" t="s">
        <v>50</v>
      </c>
      <c r="D9" s="9" cm="1">
        <f t="array" aca="1" ref="D9" ca="1">+E16+D2:D9</f>
        <v>0</v>
      </c>
      <c r="E9" s="9">
        <v>35</v>
      </c>
      <c r="F9" s="8" t="s">
        <v>34</v>
      </c>
      <c r="G9" s="6" t="str">
        <f ca="1"/>
        <v>Standard</v>
      </c>
      <c r="H9" t="str">
        <f t="shared" si="0"/>
        <v>23</v>
      </c>
      <c r="I9" t="str">
        <f t="shared" si="1"/>
        <v>UK</v>
      </c>
      <c r="J9" t="str">
        <f t="shared" si="2"/>
        <v>AUG</v>
      </c>
    </row>
    <row r="10" spans="1:10" ht="15.75" thickBot="1" x14ac:dyDescent="0.3">
      <c r="A10" s="6" t="s">
        <v>51</v>
      </c>
      <c r="B10" s="6" t="s">
        <v>52</v>
      </c>
      <c r="C10" s="6" t="s">
        <v>53</v>
      </c>
      <c r="D10" s="7" cm="1">
        <f t="array" aca="1" ref="D10" ca="1">+E17+D2:D10</f>
        <v>0</v>
      </c>
      <c r="E10" s="7">
        <v>50</v>
      </c>
      <c r="F10" s="6" t="s">
        <v>26</v>
      </c>
      <c r="G10" s="6" t="str">
        <f ca="1"/>
        <v>High Price</v>
      </c>
      <c r="H10" t="str">
        <f t="shared" si="0"/>
        <v>05</v>
      </c>
      <c r="I10" t="str">
        <f t="shared" si="1"/>
        <v>UK</v>
      </c>
      <c r="J10" t="str">
        <f t="shared" si="2"/>
        <v>SEP</v>
      </c>
    </row>
    <row r="11" spans="1:10" ht="15.75" thickBot="1" x14ac:dyDescent="0.3">
      <c r="A11" s="8" t="s">
        <v>54</v>
      </c>
      <c r="B11" s="8" t="s">
        <v>55</v>
      </c>
      <c r="C11" s="8" t="s">
        <v>56</v>
      </c>
      <c r="D11" s="9" cm="1">
        <f t="array" aca="1" ref="D11" ca="1">+E18+D2:D11</f>
        <v>0</v>
      </c>
      <c r="E11" s="9">
        <v>10</v>
      </c>
      <c r="F11" s="8" t="s">
        <v>41</v>
      </c>
      <c r="G11" s="6" t="str">
        <f ca="1"/>
        <v>Standard</v>
      </c>
      <c r="H11" t="str">
        <f t="shared" si="0"/>
        <v>14</v>
      </c>
      <c r="I11" t="str">
        <f t="shared" si="1"/>
        <v>UK</v>
      </c>
      <c r="J11" t="str">
        <f t="shared" si="2"/>
        <v>OCT</v>
      </c>
    </row>
    <row r="12" spans="1:10" ht="15.75" thickBot="1" x14ac:dyDescent="0.3">
      <c r="A12" s="6" t="s">
        <v>57</v>
      </c>
      <c r="B12" s="6" t="s">
        <v>24</v>
      </c>
      <c r="C12" s="6" t="s">
        <v>58</v>
      </c>
      <c r="D12" s="7" cm="1">
        <f t="array" aca="1" ref="D12" ca="1">+E19+D2:D12</f>
        <v>0</v>
      </c>
      <c r="E12" s="7">
        <v>25</v>
      </c>
      <c r="F12" s="6" t="s">
        <v>26</v>
      </c>
      <c r="G12" s="6" t="str">
        <f ca="1"/>
        <v>High Price</v>
      </c>
      <c r="H12" t="str">
        <f t="shared" si="0"/>
        <v>17</v>
      </c>
      <c r="I12" t="str">
        <f t="shared" si="1"/>
        <v>IN</v>
      </c>
      <c r="J12" t="str">
        <f t="shared" si="2"/>
        <v>JUN</v>
      </c>
    </row>
    <row r="13" spans="1:10" ht="15.75" thickBot="1" x14ac:dyDescent="0.3">
      <c r="A13" s="8" t="s">
        <v>59</v>
      </c>
      <c r="B13" s="8" t="s">
        <v>28</v>
      </c>
      <c r="C13" s="8" t="s">
        <v>47</v>
      </c>
      <c r="D13" s="9" cm="1">
        <f t="array" aca="1" ref="D13" ca="1">+E20+D2:D13</f>
        <v>0</v>
      </c>
      <c r="E13" s="9">
        <v>40</v>
      </c>
      <c r="F13" s="8" t="s">
        <v>30</v>
      </c>
      <c r="G13" s="6" t="str">
        <f ca="1"/>
        <v>Standard</v>
      </c>
      <c r="H13" t="str">
        <f t="shared" si="0"/>
        <v>25</v>
      </c>
      <c r="I13" t="str">
        <f t="shared" si="1"/>
        <v>AU</v>
      </c>
      <c r="J13" t="str">
        <f t="shared" si="2"/>
        <v>NOV</v>
      </c>
    </row>
    <row r="14" spans="1:10" ht="15.75" thickBot="1" x14ac:dyDescent="0.3">
      <c r="A14" s="6" t="s">
        <v>60</v>
      </c>
      <c r="B14" s="6" t="s">
        <v>32</v>
      </c>
      <c r="C14" s="6" t="s">
        <v>61</v>
      </c>
      <c r="D14" s="7" cm="1">
        <f t="array" aca="1" ref="D14" ca="1">+E21+D2:D14</f>
        <v>0</v>
      </c>
      <c r="E14" s="7">
        <v>35</v>
      </c>
      <c r="F14" s="6" t="s">
        <v>34</v>
      </c>
      <c r="G14" s="6" t="str">
        <f ca="1"/>
        <v>Standard</v>
      </c>
      <c r="H14" t="str">
        <f t="shared" si="0"/>
        <v>08</v>
      </c>
      <c r="I14" t="str">
        <f t="shared" si="1"/>
        <v>DE</v>
      </c>
      <c r="J14" t="str">
        <f t="shared" si="2"/>
        <v>DEC</v>
      </c>
    </row>
    <row r="15" spans="1:10" ht="15.75" thickBot="1" x14ac:dyDescent="0.3">
      <c r="A15" s="8" t="s">
        <v>62</v>
      </c>
      <c r="B15" s="8" t="s">
        <v>63</v>
      </c>
      <c r="C15" s="8" t="s">
        <v>64</v>
      </c>
      <c r="D15" s="9" cm="1">
        <f t="array" aca="1" ref="D15" ca="1">+E22+D2:D15</f>
        <v>0</v>
      </c>
      <c r="E15" s="9">
        <v>15</v>
      </c>
      <c r="F15" s="8" t="s">
        <v>26</v>
      </c>
      <c r="G15" s="6" t="str">
        <f ca="1"/>
        <v>Standard</v>
      </c>
      <c r="H15" t="str">
        <f t="shared" si="0"/>
        <v>18</v>
      </c>
      <c r="I15" t="str">
        <f t="shared" si="1"/>
        <v>CA</v>
      </c>
      <c r="J15" t="str">
        <f t="shared" si="2"/>
        <v>FEB</v>
      </c>
    </row>
    <row r="16" spans="1:10" ht="15.75" thickBot="1" x14ac:dyDescent="0.3">
      <c r="A16" s="6" t="s">
        <v>65</v>
      </c>
      <c r="B16" s="6" t="s">
        <v>43</v>
      </c>
      <c r="C16" s="6" t="s">
        <v>66</v>
      </c>
      <c r="D16" s="7" cm="1">
        <f t="array" aca="1" ref="D16" ca="1">+E23+D2:D16</f>
        <v>0</v>
      </c>
      <c r="E16" s="7">
        <v>20</v>
      </c>
      <c r="F16" s="6" t="s">
        <v>26</v>
      </c>
      <c r="G16" s="6" t="str">
        <f ca="1"/>
        <v>Standard</v>
      </c>
      <c r="H16" t="str">
        <f t="shared" si="0"/>
        <v>16</v>
      </c>
      <c r="I16" t="str">
        <f t="shared" si="1"/>
        <v>ES</v>
      </c>
      <c r="J16" t="str">
        <f t="shared" si="2"/>
        <v>APR</v>
      </c>
    </row>
    <row r="17" spans="1:10" ht="15.75" thickBot="1" x14ac:dyDescent="0.3">
      <c r="A17" s="8" t="s">
        <v>67</v>
      </c>
      <c r="B17" s="8" t="s">
        <v>68</v>
      </c>
      <c r="C17" s="8" t="s">
        <v>69</v>
      </c>
      <c r="D17" s="9" cm="1">
        <f t="array" aca="1" ref="D17" ca="1">+E24+D2:D17</f>
        <v>0</v>
      </c>
      <c r="E17" s="9">
        <v>35</v>
      </c>
      <c r="F17" s="8" t="s">
        <v>70</v>
      </c>
      <c r="G17" s="6" t="str">
        <f ca="1"/>
        <v>Standard</v>
      </c>
      <c r="H17" t="str">
        <f t="shared" si="0"/>
        <v>21</v>
      </c>
      <c r="I17" t="str">
        <f t="shared" si="1"/>
        <v>CA</v>
      </c>
      <c r="J17" t="str">
        <f t="shared" si="2"/>
        <v>AUG</v>
      </c>
    </row>
    <row r="18" spans="1:10" ht="15.75" thickBot="1" x14ac:dyDescent="0.3">
      <c r="A18" s="6" t="s">
        <v>71</v>
      </c>
      <c r="B18" s="6" t="s">
        <v>63</v>
      </c>
      <c r="C18" s="6" t="s">
        <v>72</v>
      </c>
      <c r="D18" s="7" cm="1">
        <f t="array" aca="1" ref="D18" ca="1">+E25+D2:D18</f>
        <v>0</v>
      </c>
      <c r="E18" s="7">
        <v>15</v>
      </c>
      <c r="F18" s="6" t="s">
        <v>26</v>
      </c>
      <c r="G18" s="6" t="str">
        <f ca="1"/>
        <v>Standard</v>
      </c>
      <c r="H18" t="str">
        <f t="shared" si="0"/>
        <v>20</v>
      </c>
      <c r="I18" t="str">
        <f t="shared" si="1"/>
        <v>CN</v>
      </c>
      <c r="J18" t="str">
        <f t="shared" si="2"/>
        <v>AUG</v>
      </c>
    </row>
    <row r="19" spans="1:10" ht="15.75" thickBot="1" x14ac:dyDescent="0.3">
      <c r="A19" s="8" t="s">
        <v>73</v>
      </c>
      <c r="B19" s="8" t="s">
        <v>24</v>
      </c>
      <c r="C19" s="8" t="s">
        <v>74</v>
      </c>
      <c r="D19" s="9" cm="1">
        <f t="array" aca="1" ref="D19" ca="1">+E26+D2:D19</f>
        <v>0</v>
      </c>
      <c r="E19" s="9">
        <v>10</v>
      </c>
      <c r="F19" s="8" t="s">
        <v>26</v>
      </c>
      <c r="G19" s="6" t="str">
        <f ca="1"/>
        <v>High Price</v>
      </c>
      <c r="H19" t="str">
        <f t="shared" si="0"/>
        <v>27</v>
      </c>
      <c r="I19" t="str">
        <f t="shared" si="1"/>
        <v>IT</v>
      </c>
      <c r="J19" t="str">
        <f t="shared" si="2"/>
        <v>JAN</v>
      </c>
    </row>
    <row r="20" spans="1:10" ht="15.75" thickBot="1" x14ac:dyDescent="0.3">
      <c r="A20" s="6" t="s">
        <v>75</v>
      </c>
      <c r="B20" s="6" t="s">
        <v>76</v>
      </c>
      <c r="C20" s="6" t="s">
        <v>77</v>
      </c>
      <c r="D20" s="7" cm="1">
        <f t="array" aca="1" ref="D20" ca="1">+E27+D2:D20</f>
        <v>0</v>
      </c>
      <c r="E20" s="7">
        <v>15</v>
      </c>
      <c r="F20" s="6" t="s">
        <v>30</v>
      </c>
      <c r="G20" s="6" t="str">
        <f ca="1"/>
        <v>Standard</v>
      </c>
      <c r="H20" t="str">
        <f t="shared" si="0"/>
        <v>01</v>
      </c>
      <c r="I20" t="str">
        <f t="shared" si="1"/>
        <v>UK</v>
      </c>
      <c r="J20" t="str">
        <f t="shared" si="2"/>
        <v>MAR</v>
      </c>
    </row>
    <row r="21" spans="1:10" ht="15.75" thickBot="1" x14ac:dyDescent="0.3">
      <c r="A21" s="8" t="s">
        <v>78</v>
      </c>
      <c r="B21" s="8" t="s">
        <v>79</v>
      </c>
      <c r="C21" s="8" t="s">
        <v>80</v>
      </c>
      <c r="D21" s="9" cm="1">
        <f t="array" aca="1" ref="D21" ca="1">+E28+D2:D21</f>
        <v>0</v>
      </c>
      <c r="E21" s="9">
        <v>10</v>
      </c>
      <c r="F21" s="8" t="s">
        <v>41</v>
      </c>
      <c r="G21" s="6" t="str">
        <f ca="1"/>
        <v>Standard</v>
      </c>
      <c r="H21" t="str">
        <f t="shared" si="0"/>
        <v>14</v>
      </c>
      <c r="I21" t="str">
        <f t="shared" si="1"/>
        <v>US</v>
      </c>
      <c r="J21" t="str">
        <f t="shared" si="2"/>
        <v>AUG</v>
      </c>
    </row>
    <row r="22" spans="1:10" ht="15.75" thickBot="1" x14ac:dyDescent="0.3">
      <c r="A22" s="6" t="s">
        <v>81</v>
      </c>
      <c r="B22" s="6" t="s">
        <v>82</v>
      </c>
      <c r="C22" s="6" t="s">
        <v>83</v>
      </c>
      <c r="D22" s="7" cm="1">
        <f t="array" aca="1" ref="D22" ca="1">+E29+D2:D22</f>
        <v>0</v>
      </c>
      <c r="E22" s="7">
        <v>50</v>
      </c>
      <c r="F22" s="6" t="s">
        <v>26</v>
      </c>
      <c r="G22" s="6" t="str">
        <f ca="1"/>
        <v>High Price</v>
      </c>
      <c r="H22" t="str">
        <f t="shared" si="0"/>
        <v>14</v>
      </c>
      <c r="I22" t="str">
        <f t="shared" si="1"/>
        <v>RU</v>
      </c>
      <c r="J22" t="str">
        <f t="shared" si="2"/>
        <v>MAY</v>
      </c>
    </row>
    <row r="23" spans="1:10" ht="15.75" thickBot="1" x14ac:dyDescent="0.3">
      <c r="A23" s="8" t="s">
        <v>84</v>
      </c>
      <c r="B23" s="8" t="s">
        <v>85</v>
      </c>
      <c r="C23" s="8" t="s">
        <v>86</v>
      </c>
      <c r="D23" s="9" cm="1">
        <f t="array" aca="1" ref="D23" ca="1">+E30+D2:D23</f>
        <v>0</v>
      </c>
      <c r="E23" s="9">
        <v>20</v>
      </c>
      <c r="F23" s="8" t="s">
        <v>34</v>
      </c>
      <c r="G23" s="6" t="str">
        <f ca="1"/>
        <v>Standard</v>
      </c>
      <c r="H23" t="str">
        <f t="shared" si="0"/>
        <v>09</v>
      </c>
      <c r="I23" t="str">
        <f t="shared" si="1"/>
        <v>CA</v>
      </c>
      <c r="J23" t="str">
        <f t="shared" si="2"/>
        <v>JAN</v>
      </c>
    </row>
    <row r="24" spans="1:10" ht="15.75" thickBot="1" x14ac:dyDescent="0.3">
      <c r="A24" s="6" t="s">
        <v>87</v>
      </c>
      <c r="B24" s="6" t="s">
        <v>88</v>
      </c>
      <c r="C24" s="6" t="s">
        <v>89</v>
      </c>
      <c r="D24" s="7" cm="1">
        <f t="array" aca="1" ref="D24" ca="1">+E31+D2:D24</f>
        <v>0</v>
      </c>
      <c r="E24" s="7">
        <v>30</v>
      </c>
      <c r="F24" s="6" t="s">
        <v>26</v>
      </c>
      <c r="G24" s="6" t="str">
        <f ca="1"/>
        <v>Standard</v>
      </c>
      <c r="H24" t="str">
        <f t="shared" si="0"/>
        <v>19</v>
      </c>
      <c r="I24" t="str">
        <f t="shared" si="1"/>
        <v>BR</v>
      </c>
      <c r="J24" t="str">
        <f t="shared" si="2"/>
        <v>JUL</v>
      </c>
    </row>
    <row r="25" spans="1:10" ht="15.75" thickBot="1" x14ac:dyDescent="0.3">
      <c r="A25" s="8" t="s">
        <v>67</v>
      </c>
      <c r="B25" s="8" t="s">
        <v>68</v>
      </c>
      <c r="C25" s="8" t="s">
        <v>69</v>
      </c>
      <c r="D25" s="9" cm="1">
        <f t="array" aca="1" ref="D25" ca="1">+E32+D2:D25</f>
        <v>0</v>
      </c>
      <c r="E25" s="9">
        <v>35</v>
      </c>
      <c r="F25" s="8" t="s">
        <v>70</v>
      </c>
      <c r="G25" s="10" t="str">
        <f ca="1"/>
        <v>Standard</v>
      </c>
      <c r="H25" t="str">
        <f t="shared" si="0"/>
        <v>21</v>
      </c>
      <c r="I25" t="str">
        <f t="shared" si="1"/>
        <v>CA</v>
      </c>
      <c r="J25" t="str">
        <f t="shared" si="2"/>
        <v>AUG</v>
      </c>
    </row>
    <row r="26" spans="1:10" ht="15.75" thickBot="1" x14ac:dyDescent="0.3">
      <c r="A26" s="6" t="s">
        <v>90</v>
      </c>
      <c r="B26" s="6" t="s">
        <v>36</v>
      </c>
      <c r="C26" s="6" t="s">
        <v>91</v>
      </c>
      <c r="D26" s="7" cm="1">
        <f t="array" aca="1" ref="D26" ca="1">+E33+D2:D26</f>
        <v>0</v>
      </c>
      <c r="E26" s="7">
        <v>45</v>
      </c>
      <c r="F26" s="6" t="s">
        <v>26</v>
      </c>
      <c r="G26" s="6" t="str">
        <f ca="1"/>
        <v>High Price</v>
      </c>
      <c r="H26" t="str">
        <f t="shared" si="0"/>
        <v>29</v>
      </c>
      <c r="I26" t="str">
        <f t="shared" si="1"/>
        <v>CA</v>
      </c>
      <c r="J26" t="str">
        <f t="shared" si="2"/>
        <v>SEP</v>
      </c>
    </row>
    <row r="27" spans="1:10" ht="15.75" thickBot="1" x14ac:dyDescent="0.3">
      <c r="A27" s="8" t="s">
        <v>92</v>
      </c>
      <c r="B27" s="8" t="s">
        <v>76</v>
      </c>
      <c r="C27" s="8" t="s">
        <v>93</v>
      </c>
      <c r="D27" s="9" cm="1">
        <f t="array" aca="1" ref="D27" ca="1">+E34+D2:D27</f>
        <v>0</v>
      </c>
      <c r="E27" s="9">
        <v>25</v>
      </c>
      <c r="F27" s="8" t="s">
        <v>30</v>
      </c>
      <c r="G27" s="6" t="str">
        <f ca="1"/>
        <v>Standard</v>
      </c>
      <c r="H27" t="str">
        <f t="shared" si="0"/>
        <v>03</v>
      </c>
      <c r="I27" t="str">
        <f t="shared" si="1"/>
        <v>CA</v>
      </c>
      <c r="J27" t="str">
        <f t="shared" si="2"/>
        <v>JUN</v>
      </c>
    </row>
    <row r="28" spans="1:10" ht="15.75" thickBot="1" x14ac:dyDescent="0.3">
      <c r="A28" s="6" t="s">
        <v>94</v>
      </c>
      <c r="B28" s="6" t="s">
        <v>49</v>
      </c>
      <c r="C28" s="6" t="s">
        <v>95</v>
      </c>
      <c r="D28" s="7" cm="1">
        <f t="array" aca="1" ref="D28" ca="1">+E35+D2:D28</f>
        <v>0</v>
      </c>
      <c r="E28" s="7">
        <v>40</v>
      </c>
      <c r="F28" s="6" t="s">
        <v>34</v>
      </c>
      <c r="G28" s="6" t="str">
        <f ca="1"/>
        <v>Standard</v>
      </c>
      <c r="H28" t="str">
        <f t="shared" si="0"/>
        <v>11</v>
      </c>
      <c r="I28" t="str">
        <f t="shared" si="1"/>
        <v>CA</v>
      </c>
      <c r="J28" t="str">
        <f t="shared" si="2"/>
        <v>JUL</v>
      </c>
    </row>
    <row r="29" spans="1:10" ht="15.75" thickBot="1" x14ac:dyDescent="0.3">
      <c r="A29" s="8" t="s">
        <v>65</v>
      </c>
      <c r="B29" s="8" t="s">
        <v>43</v>
      </c>
      <c r="C29" s="8" t="s">
        <v>66</v>
      </c>
      <c r="D29" s="9" cm="1">
        <f t="array" aca="1" ref="D29" ca="1">+E36+D2:D29</f>
        <v>0</v>
      </c>
      <c r="E29" s="9">
        <v>20</v>
      </c>
      <c r="F29" s="8" t="s">
        <v>26</v>
      </c>
      <c r="G29" s="10" t="str">
        <f ca="1"/>
        <v>Standard</v>
      </c>
      <c r="H29" t="str">
        <f t="shared" si="0"/>
        <v>16</v>
      </c>
      <c r="I29" t="str">
        <f t="shared" si="1"/>
        <v>ES</v>
      </c>
      <c r="J29" t="str">
        <f t="shared" si="2"/>
        <v>APR</v>
      </c>
    </row>
    <row r="30" spans="1:10" ht="15.75" thickBot="1" x14ac:dyDescent="0.3">
      <c r="A30" s="6" t="s">
        <v>96</v>
      </c>
      <c r="B30" s="6" t="s">
        <v>97</v>
      </c>
      <c r="C30" s="6" t="s">
        <v>98</v>
      </c>
      <c r="D30" s="7" cm="1">
        <f t="array" aca="1" ref="D30" ca="1">+E37+D2:D30</f>
        <v>0</v>
      </c>
      <c r="E30" s="7">
        <v>30</v>
      </c>
      <c r="F30" s="6" t="s">
        <v>30</v>
      </c>
      <c r="G30" s="6" t="str">
        <f ca="1"/>
        <v>Standard</v>
      </c>
      <c r="H30" t="str">
        <f t="shared" si="0"/>
        <v>07</v>
      </c>
      <c r="I30" t="str">
        <f t="shared" si="1"/>
        <v>CA</v>
      </c>
      <c r="J30" t="str">
        <f t="shared" si="2"/>
        <v>MAR</v>
      </c>
    </row>
    <row r="31" spans="1:10" ht="15.75" thickBot="1" x14ac:dyDescent="0.3">
      <c r="A31" s="8" t="s">
        <v>99</v>
      </c>
      <c r="B31" s="8" t="s">
        <v>100</v>
      </c>
      <c r="C31" s="8" t="s">
        <v>101</v>
      </c>
      <c r="D31" s="9" cm="1">
        <f t="array" aca="1" ref="D31" ca="1">+E38+D2:D31</f>
        <v>0</v>
      </c>
      <c r="E31" s="9">
        <v>10</v>
      </c>
      <c r="F31" s="8" t="s">
        <v>34</v>
      </c>
      <c r="G31" s="6" t="str">
        <f ca="1"/>
        <v>Standard</v>
      </c>
      <c r="H31" t="str">
        <f t="shared" si="0"/>
        <v>13</v>
      </c>
      <c r="I31" t="str">
        <f t="shared" si="1"/>
        <v>CA</v>
      </c>
      <c r="J31" t="str">
        <f t="shared" si="2"/>
        <v>APR</v>
      </c>
    </row>
    <row r="32" spans="1:10" ht="15.75" thickBot="1" x14ac:dyDescent="0.3">
      <c r="A32" s="6" t="s">
        <v>102</v>
      </c>
      <c r="B32" s="6" t="s">
        <v>88</v>
      </c>
      <c r="C32" s="6" t="s">
        <v>103</v>
      </c>
      <c r="D32" s="7" cm="1">
        <f t="array" aca="1" ref="D32" ca="1">+E39+D2:D32</f>
        <v>0</v>
      </c>
      <c r="E32" s="7">
        <v>5</v>
      </c>
      <c r="F32" s="6" t="s">
        <v>26</v>
      </c>
      <c r="G32" s="6" t="str">
        <f ca="1"/>
        <v>Standard</v>
      </c>
      <c r="H32" t="str">
        <f t="shared" si="0"/>
        <v>24</v>
      </c>
      <c r="I32" t="str">
        <f t="shared" si="1"/>
        <v>CA</v>
      </c>
      <c r="J32" t="str">
        <f t="shared" si="2"/>
        <v>MAY</v>
      </c>
    </row>
    <row r="33" spans="1:10" ht="15.75" thickBot="1" x14ac:dyDescent="0.3">
      <c r="A33" s="8" t="s">
        <v>104</v>
      </c>
      <c r="B33" s="8" t="s">
        <v>105</v>
      </c>
      <c r="C33" s="8" t="s">
        <v>106</v>
      </c>
      <c r="D33" s="9" cm="1">
        <f t="array" aca="1" ref="D33" ca="1">+E40+D2:D33</f>
        <v>0</v>
      </c>
      <c r="E33" s="9">
        <v>50</v>
      </c>
      <c r="F33" s="8" t="s">
        <v>30</v>
      </c>
      <c r="G33" s="6" t="str">
        <f ca="1"/>
        <v>Standard</v>
      </c>
      <c r="H33" t="str">
        <f t="shared" si="0"/>
        <v>02</v>
      </c>
      <c r="I33" t="str">
        <f t="shared" si="1"/>
        <v>CA</v>
      </c>
      <c r="J33" t="str">
        <f t="shared" si="2"/>
        <v>DEC</v>
      </c>
    </row>
    <row r="34" spans="1:10" ht="15.75" thickBot="1" x14ac:dyDescent="0.3">
      <c r="A34" s="6" t="s">
        <v>57</v>
      </c>
      <c r="B34" s="6" t="s">
        <v>24</v>
      </c>
      <c r="C34" s="6" t="s">
        <v>58</v>
      </c>
      <c r="D34" s="7" cm="1">
        <f t="array" aca="1" ref="D34" ca="1">+E41+D1:D34</f>
        <v>0</v>
      </c>
      <c r="E34" s="7">
        <v>25</v>
      </c>
      <c r="F34" s="6" t="s">
        <v>26</v>
      </c>
      <c r="G34" s="6" t="str">
        <f ca="1"/>
        <v>High Price</v>
      </c>
      <c r="H34" t="str">
        <f t="shared" si="0"/>
        <v>17</v>
      </c>
      <c r="I34" t="str">
        <f t="shared" si="1"/>
        <v>IN</v>
      </c>
      <c r="J34" t="str">
        <f t="shared" si="2"/>
        <v>JUN</v>
      </c>
    </row>
    <row r="35" spans="1:10" ht="15.75" thickBot="1" x14ac:dyDescent="0.3">
      <c r="A35" s="8" t="s">
        <v>107</v>
      </c>
      <c r="B35" s="8" t="s">
        <v>108</v>
      </c>
      <c r="C35" s="8" t="s">
        <v>109</v>
      </c>
      <c r="D35" s="9" cm="1">
        <f t="array" aca="1" ref="D35" ca="1">+E42+D2:D35</f>
        <v>0</v>
      </c>
      <c r="E35" s="9">
        <v>20</v>
      </c>
      <c r="F35" s="8" t="s">
        <v>70</v>
      </c>
      <c r="G35" s="6" t="str">
        <f ca="1"/>
        <v>Standard</v>
      </c>
      <c r="H35" t="str">
        <f t="shared" si="0"/>
        <v>09</v>
      </c>
      <c r="I35" t="str">
        <f t="shared" si="1"/>
        <v>FR</v>
      </c>
      <c r="J35" t="str">
        <f t="shared" si="2"/>
        <v>JUL</v>
      </c>
    </row>
    <row r="36" spans="1:10" ht="15.75" thickBot="1" x14ac:dyDescent="0.3">
      <c r="A36" s="6"/>
      <c r="B36" s="6"/>
      <c r="C36" s="6"/>
      <c r="D36" s="6"/>
      <c r="E36" s="6"/>
      <c r="F36" s="6"/>
      <c r="G36" s="6"/>
    </row>
    <row r="39" spans="1:10" x14ac:dyDescent="0.25">
      <c r="A39" t="s">
        <v>110</v>
      </c>
    </row>
    <row r="40" spans="1:10" x14ac:dyDescent="0.25">
      <c r="B40" t="s">
        <v>111</v>
      </c>
      <c r="C40">
        <f ca="1">SUM(D2:D35)</f>
        <v>10100</v>
      </c>
    </row>
    <row r="41" spans="1:10" x14ac:dyDescent="0.25">
      <c r="B41" t="s">
        <v>112</v>
      </c>
      <c r="C41">
        <f>COUNTA(B2:B35)</f>
        <v>34</v>
      </c>
    </row>
    <row r="42" spans="1:10" x14ac:dyDescent="0.25">
      <c r="B42" t="s">
        <v>113</v>
      </c>
      <c r="C42">
        <f ca="1">AVERAGE(D2:D35)</f>
        <v>297.05882352941177</v>
      </c>
      <c r="D42">
        <f ca="1">SUM(D2:D35)/C41</f>
        <v>297.05882352941177</v>
      </c>
    </row>
    <row r="44" spans="1:10" x14ac:dyDescent="0.25">
      <c r="A44" t="s">
        <v>114</v>
      </c>
      <c r="B44" t="s">
        <v>115</v>
      </c>
      <c r="C44">
        <f ca="1">MIN(D2:D35)</f>
        <v>30</v>
      </c>
    </row>
    <row r="45" spans="1:10" x14ac:dyDescent="0.25">
      <c r="B45" t="s">
        <v>116</v>
      </c>
      <c r="C45">
        <f ca="1">MAX(D2:D35)</f>
        <v>1000</v>
      </c>
    </row>
    <row r="47" spans="1:10" x14ac:dyDescent="0.25">
      <c r="A47" t="s">
        <v>117</v>
      </c>
      <c r="B47" t="s">
        <v>119</v>
      </c>
      <c r="C47" t="s">
        <v>120</v>
      </c>
    </row>
    <row r="49" spans="1:3" x14ac:dyDescent="0.25">
      <c r="A49" t="s">
        <v>121</v>
      </c>
      <c r="B49" t="s">
        <v>126</v>
      </c>
      <c r="C49">
        <f ca="1">SUMIF(F2:F35,"Electronics",D2:D35)</f>
        <v>8050</v>
      </c>
    </row>
    <row r="50" spans="1:3" x14ac:dyDescent="0.25">
      <c r="B50" t="s">
        <v>127</v>
      </c>
      <c r="C50">
        <f ca="1">COUNTIF(D2:D35,"&lt;100")</f>
        <v>11</v>
      </c>
    </row>
    <row r="52" spans="1:3" x14ac:dyDescent="0.25">
      <c r="A52" t="s">
        <v>122</v>
      </c>
      <c r="B52" t="s">
        <v>129</v>
      </c>
      <c r="C5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Question</vt:lpstr>
      <vt:lpstr>Data sheet</vt:lpstr>
      <vt:lpstr>Answersheet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Sudhakaran</dc:creator>
  <cp:lastModifiedBy>Archana Sudhakaran</cp:lastModifiedBy>
  <dcterms:created xsi:type="dcterms:W3CDTF">2026-09-30T18:33:54Z</dcterms:created>
  <dcterms:modified xsi:type="dcterms:W3CDTF">2026-10-02T09:56:41Z</dcterms:modified>
</cp:coreProperties>
</file>