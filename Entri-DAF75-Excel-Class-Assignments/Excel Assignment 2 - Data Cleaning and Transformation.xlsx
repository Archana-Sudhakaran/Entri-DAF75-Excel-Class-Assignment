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CHANA SUDHAKARAN\Documents\Entri\Excel\Workbooks\Assignments\"/>
    </mc:Choice>
  </mc:AlternateContent>
  <xr:revisionPtr revIDLastSave="0" documentId="13_ncr:1_{9BC3450A-32EA-41C6-9BC3-8E2904A0C52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2" i="3" a="1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<sst xmlns="http://schemas.openxmlformats.org/spreadsheetml/2006/main" count="351" uniqueCount="161">
  <si>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</si>
  <si>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</si>
  <si>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</si>
  <si>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</si>
  <si>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</si>
  <si>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</si>
  <si>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</si>
  <si>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</si>
  <si>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</si>
  <si>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</si>
  <si>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</si>
  <si>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</si>
  <si>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</si>
  <si>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</si>
  <si>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</si>
  <si>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</si>
  <si>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</si>
  <si>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</si>
  <si>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</si>
  <si>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</si>
  <si>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</si>
  <si>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</si>
  <si>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</si>
  <si>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</si>
  <si>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</si>
  <si>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</si>
  <si>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</si>
  <si>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</si>
  <si>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</si>
  <si>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</si>
  <si>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</si>
  <si>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</si>
  <si>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</si>
  <si>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</si>
  <si>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</si>
  <si>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</si>
  <si>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</si>
  <si>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</si>
  <si>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</si>
  <si>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</si>
  <si>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</si>
  <si>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</si>
  <si>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</si>
  <si>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</si>
  <si>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</si>
  <si>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</si>
  <si>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</si>
  <si>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</si>
  <si>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</si>
  <si>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</si>
  <si>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</si>
  <si>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</si>
  <si>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</si>
  <si>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</si>
  <si>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</si>
  <si>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</si>
  <si>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</si>
  <si>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</si>
  <si>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</si>
  <si>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</si>
  <si>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</si>
  <si>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</si>
  <si>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</si>
  <si>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</si>
  <si>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</si>
  <si>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</si>
  <si>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</si>
  <si>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</si>
  <si>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</si>
  <si>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</si>
  <si>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</si>
  <si>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</si>
  <si>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</si>
  <si>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</si>
  <si>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</si>
  <si>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</si>
  <si>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</si>
  <si>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</si>
  <si>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</si>
  <si>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</si>
  <si>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</si>
  <si>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</si>
  <si>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</si>
  <si>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</si>
  <si>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</si>
  <si>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</si>
  <si>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</si>
  <si>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</si>
  <si>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</si>
  <si>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</si>
  <si>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</si>
  <si>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</si>
  <si>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</si>
  <si>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</si>
  <si>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</si>
  <si>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</si>
  <si>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</si>
  <si>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</si>
  <si>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</si>
  <si>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</si>
  <si>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</si>
  <si>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</si>
  <si>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</si>
  <si>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</si>
  <si>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</si>
  <si>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</si>
  <si>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</si>
  <si>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</si>
  <si>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</si>
  <si>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</si>
  <si>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</si>
  <si>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</si>
  <si>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</si>
  <si>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</si>
  <si>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</si>
  <si>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</si>
  <si>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 xml:space="preserve">missing value </t>
  </si>
  <si>
    <t>spell check</t>
  </si>
  <si>
    <t>proper case</t>
  </si>
  <si>
    <t>removing duplicate</t>
  </si>
  <si>
    <t>Country Code</t>
  </si>
  <si>
    <t xml:space="preserve"> </t>
  </si>
  <si>
    <t>merge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</si>
  <si>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</si>
  <si>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</si>
  <si>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</si>
  <si>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</si>
  <si>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</si>
  <si>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</si>
  <si>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</si>
  <si>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</si>
  <si>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</si>
  <si>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</si>
  <si>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</si>
  <si>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</si>
  <si>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 xml:space="preserve">split-product ID </t>
  </si>
  <si>
    <t>Product Brand</t>
  </si>
  <si>
    <t>1.manufacturing date using text to column</t>
  </si>
  <si>
    <t xml:space="preserve">2. country code using text to column </t>
  </si>
  <si>
    <t>Number format</t>
  </si>
  <si>
    <t>1.Price colum to currency format</t>
  </si>
  <si>
    <t>Question</t>
  </si>
  <si>
    <t>steps</t>
  </si>
  <si>
    <t>select entire colum &gt;&gt; home&gt; number&gt;currency&gt;select the symbol&gt;ok</t>
  </si>
  <si>
    <t xml:space="preserve">select a cell&gt;use concat formula </t>
  </si>
  <si>
    <t>select the product ID colum&gt; data&gt;text to colum&gt;delimitted&gt;next&gt;select other&gt;enter hyphen(-) &gt;&gt;finish</t>
  </si>
  <si>
    <t xml:space="preserve">2.Manufacturing date </t>
  </si>
  <si>
    <t>Conditional Formatting</t>
  </si>
  <si>
    <t>1.data bar or color scales</t>
  </si>
  <si>
    <t>select column&gt;Home&gt;conditional Formatting&gt;data bar&gt;select one&gt; click ok</t>
  </si>
  <si>
    <t>select the column&gt;Home&gt;cond.formt&gt;new rule&gt;only cells contain&gt; ubder description&gt;select&gt;specific text&gt;containing&gt;Electronics&gt;format&gt;select color&gt;ok</t>
  </si>
  <si>
    <t>select the necessary table&gt;home&gt;find and select&gt;go to specials&gt;blanks&gt;ok</t>
  </si>
  <si>
    <t>click onn all -&gt; review-&gt; spelling</t>
  </si>
  <si>
    <t>after finding the blank cell do not change anything just click no value cntrl+ enter</t>
  </si>
  <si>
    <t>2.Highlight ;Category-electronics</t>
  </si>
  <si>
    <t>using proper case</t>
  </si>
  <si>
    <t>data &gt;remove Duplicates</t>
  </si>
  <si>
    <t>Manufacturing Date</t>
  </si>
  <si>
    <t xml:space="preserve">Manufacturing Date </t>
  </si>
  <si>
    <t xml:space="preserve">1.brand name and product name </t>
  </si>
  <si>
    <t>2.product brand using 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</si>
</sst>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INR]\ #,##0.00"/>
    <numFmt numFmtId="165" formatCode="dd\-mm\-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0" fillId="0" borderId="0" xfId="0" applyAlignment="1">
      <alignment horizontal="right"/>
    </xf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5" fontId="5" fillId="0" borderId="0" xfId="0" applyNumberFormat="1" applyFont="1"/>
    <xf numFmtId="165" fontId="5" fillId="3" borderId="0" xfId="0" applyNumberFormat="1" applyFont="1" applyFill="1"/>
    <xf numFmtId="0" fontId="0" fillId="0" borderId="0" xfId="0" applyAlignment="1">
      <alignment horizontal="left"/>
    </xf>
    <xf numFmtId="0" fontId="8" fillId="4" borderId="0" xfId="0" applyFont="1" applyFill="1"/>
    <xf numFmtId="165" fontId="0" fillId="0" borderId="0" xfId="0" applyNumberFormat="1"/>
  </cellXfs>
  <cellStyles count="1">
    <cellStyle name="Normal" xfId="0" builtinId="0"/>
  </cellStyles>
  <dxfs count="2">
    <dxf>
      <font>
        <color rgb="FF00B050"/>
      </font>
    </dxf>
    <dxf>
      <font>
        <color auto="1"/>
      </font>
      <fill>
        <patternFill patternType="solid">
          <fgColor auto="1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G21" sqref="G21:H21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121</v>
      </c>
    </row>
    <row r="2" spans="1:11" ht="15.75" customHeight="1" x14ac:dyDescent="0.2"/>
    <row r="3" spans="1:11" ht="15.75" customHeight="1" x14ac:dyDescent="0.25">
      <c r="B3" s="2" t="s">
        <v>0</v>
      </c>
    </row>
    <row r="4" spans="1:11" ht="15.75" customHeight="1" x14ac:dyDescent="0.25">
      <c r="C4" s="3" t="s">
        <v>1</v>
      </c>
    </row>
    <row r="5" spans="1:11" ht="15.75" customHeight="1" x14ac:dyDescent="0.25">
      <c r="B5" s="4"/>
      <c r="C5" s="3" t="s">
        <v>2</v>
      </c>
    </row>
    <row r="6" spans="1:11" ht="15.75" customHeight="1" x14ac:dyDescent="0.25">
      <c r="B6" s="4"/>
    </row>
    <row r="7" spans="1:11" ht="15.75" customHeight="1" x14ac:dyDescent="0.25">
      <c r="B7" s="2" t="s">
        <v>3</v>
      </c>
    </row>
    <row r="8" spans="1:11" ht="15.75" customHeight="1" x14ac:dyDescent="0.25">
      <c r="C8" s="3" t="s">
        <v>4</v>
      </c>
    </row>
    <row r="9" spans="1:11" ht="15.75" customHeight="1" x14ac:dyDescent="0.25">
      <c r="C9" s="3" t="s">
        <v>5</v>
      </c>
    </row>
    <row r="10" spans="1:11" ht="15.75" customHeight="1" x14ac:dyDescent="0.25">
      <c r="C10" s="3" t="s">
        <v>6</v>
      </c>
    </row>
    <row r="11" spans="1:11" ht="15.75" customHeight="1" x14ac:dyDescent="0.25">
      <c r="B11" s="4"/>
    </row>
    <row r="12" spans="1:11" ht="15.75" customHeight="1" x14ac:dyDescent="0.25">
      <c r="B12" s="2" t="s">
        <v>7</v>
      </c>
    </row>
    <row r="13" spans="1:11" ht="15.75" customHeight="1" x14ac:dyDescent="0.25">
      <c r="B13" s="2"/>
      <c r="C13" s="3" t="s">
        <v>8</v>
      </c>
    </row>
    <row r="14" spans="1:11" ht="15.75" customHeight="1" x14ac:dyDescent="0.2"/>
    <row r="15" spans="1:11" ht="15.75" customHeight="1" x14ac:dyDescent="0.25">
      <c r="B15" s="2" t="s">
        <v>9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10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11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12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13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14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15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16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XFD1048576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16" ht="15.75" customHeight="1" x14ac:dyDescent="0.2">
      <c r="A2" s="5" t="s">
        <v>24</v>
      </c>
      <c r="B2" s="5" t="s">
        <v>25</v>
      </c>
      <c r="C2" s="5" t="s">
        <v>26</v>
      </c>
      <c r="D2" s="5">
        <v>1000</v>
      </c>
      <c r="E2" s="5">
        <v>30</v>
      </c>
      <c r="F2" s="5" t="s">
        <v>27</v>
      </c>
    </row>
    <row r="3" spans="1:16" ht="15.75" customHeight="1" x14ac:dyDescent="0.25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36</v>
      </c>
      <c r="B5" s="8" t="s">
        <v>37</v>
      </c>
      <c r="C5" s="8" t="s">
        <v>38</v>
      </c>
      <c r="D5" s="8">
        <v>900</v>
      </c>
      <c r="E5" s="8">
        <v>25</v>
      </c>
      <c r="F5" s="8" t="s">
        <v>27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/>
    </row>
    <row r="7" spans="1:16" ht="15.75" customHeight="1" x14ac:dyDescent="0.2">
      <c r="A7" s="8" t="s">
        <v>42</v>
      </c>
      <c r="B7" s="8" t="s">
        <v>43</v>
      </c>
      <c r="C7" s="8" t="s">
        <v>44</v>
      </c>
      <c r="D7" s="8"/>
      <c r="E7" s="8">
        <v>45</v>
      </c>
      <c r="F7" s="8" t="s">
        <v>45</v>
      </c>
    </row>
    <row r="8" spans="1:16" ht="15.75" customHeight="1" x14ac:dyDescent="0.2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31</v>
      </c>
    </row>
    <row r="9" spans="1:16" ht="15.75" customHeight="1" x14ac:dyDescent="0.2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35</v>
      </c>
    </row>
    <row r="10" spans="1:16" ht="15.75" customHeight="1" x14ac:dyDescent="0.2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27</v>
      </c>
    </row>
    <row r="11" spans="1:16" ht="15.75" customHeight="1" x14ac:dyDescent="0.2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</row>
    <row r="12" spans="1:16" ht="15.75" customHeight="1" x14ac:dyDescent="0.2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27</v>
      </c>
    </row>
    <row r="13" spans="1:16" ht="15.75" customHeight="1" x14ac:dyDescent="0.2">
      <c r="A13" s="8" t="s">
        <v>62</v>
      </c>
      <c r="B13" s="8" t="s">
        <v>29</v>
      </c>
      <c r="C13" s="8" t="s">
        <v>48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63</v>
      </c>
      <c r="B14" s="5" t="s">
        <v>33</v>
      </c>
      <c r="C14" s="5" t="s">
        <v>64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45</v>
      </c>
    </row>
    <row r="16" spans="1:16" ht="15.75" customHeight="1" x14ac:dyDescent="0.2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45</v>
      </c>
    </row>
    <row r="17" spans="1:6" ht="15.75" customHeight="1" x14ac:dyDescent="0.2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</row>
    <row r="18" spans="1:6" ht="15.75" customHeight="1" x14ac:dyDescent="0.2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45</v>
      </c>
    </row>
    <row r="19" spans="1:6" ht="15.75" customHeight="1" x14ac:dyDescent="0.2">
      <c r="A19" s="8" t="s">
        <v>77</v>
      </c>
      <c r="B19" s="8" t="s">
        <v>25</v>
      </c>
      <c r="C19" s="8" t="s">
        <v>78</v>
      </c>
      <c r="D19" s="8">
        <v>980</v>
      </c>
      <c r="E19" s="8">
        <v>10</v>
      </c>
      <c r="F19" s="8" t="s">
        <v>27</v>
      </c>
    </row>
    <row r="20" spans="1:6" ht="15.75" customHeight="1" x14ac:dyDescent="0.2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31</v>
      </c>
    </row>
    <row r="21" spans="1:6" ht="15.75" customHeight="1" x14ac:dyDescent="0.2">
      <c r="A21" s="8" t="s">
        <v>82</v>
      </c>
      <c r="B21" s="8" t="s">
        <v>83</v>
      </c>
      <c r="C21" s="8" t="s">
        <v>84</v>
      </c>
      <c r="D21" s="8"/>
      <c r="E21" s="8">
        <v>10</v>
      </c>
      <c r="F21" s="8" t="s">
        <v>58</v>
      </c>
    </row>
    <row r="22" spans="1:6" ht="15.75" customHeight="1" x14ac:dyDescent="0.2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27</v>
      </c>
    </row>
    <row r="23" spans="1:6" ht="15.75" customHeight="1" x14ac:dyDescent="0.2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35</v>
      </c>
    </row>
    <row r="24" spans="1:6" ht="15.75" customHeight="1" x14ac:dyDescent="0.2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71</v>
      </c>
      <c r="B25" s="8" t="s">
        <v>72</v>
      </c>
      <c r="C25" s="8" t="s">
        <v>73</v>
      </c>
      <c r="D25" s="8">
        <v>50</v>
      </c>
      <c r="E25" s="8">
        <v>35</v>
      </c>
      <c r="F25" s="8" t="s">
        <v>74</v>
      </c>
    </row>
    <row r="26" spans="1:6" ht="15.75" customHeight="1" x14ac:dyDescent="0.2">
      <c r="A26" s="5" t="s">
        <v>94</v>
      </c>
      <c r="B26" s="5" t="s">
        <v>95</v>
      </c>
      <c r="C26" s="5" t="s">
        <v>96</v>
      </c>
      <c r="D26" s="5">
        <v>800</v>
      </c>
      <c r="E26" s="5">
        <v>45</v>
      </c>
      <c r="F26" s="5" t="s">
        <v>27</v>
      </c>
    </row>
    <row r="27" spans="1:6" ht="15.75" customHeight="1" x14ac:dyDescent="0.2">
      <c r="A27" s="8" t="s">
        <v>97</v>
      </c>
      <c r="B27" s="8" t="s">
        <v>80</v>
      </c>
      <c r="C27" s="8" t="s">
        <v>98</v>
      </c>
      <c r="D27" s="8"/>
      <c r="E27" s="8">
        <v>25</v>
      </c>
      <c r="F27" s="8" t="s">
        <v>31</v>
      </c>
    </row>
    <row r="28" spans="1:6" ht="15.75" customHeight="1" x14ac:dyDescent="0.2">
      <c r="A28" s="5" t="s">
        <v>99</v>
      </c>
      <c r="B28" s="5" t="s">
        <v>50</v>
      </c>
      <c r="C28" s="5" t="s">
        <v>100</v>
      </c>
      <c r="D28" s="5">
        <v>400</v>
      </c>
      <c r="E28" s="5">
        <v>40</v>
      </c>
      <c r="F28" s="5" t="s">
        <v>35</v>
      </c>
    </row>
    <row r="29" spans="1:6" ht="15.75" customHeight="1" x14ac:dyDescent="0.2">
      <c r="A29" s="8" t="s">
        <v>68</v>
      </c>
      <c r="B29" s="8" t="s">
        <v>69</v>
      </c>
      <c r="C29" s="8" t="s">
        <v>70</v>
      </c>
      <c r="D29" s="8">
        <v>250</v>
      </c>
      <c r="E29" s="8">
        <v>20</v>
      </c>
      <c r="F29" s="8" t="s">
        <v>45</v>
      </c>
    </row>
    <row r="30" spans="1:6" ht="15.75" customHeight="1" x14ac:dyDescent="0.2">
      <c r="A30" s="5" t="s">
        <v>101</v>
      </c>
      <c r="B30" s="5" t="s">
        <v>102</v>
      </c>
      <c r="C30" s="5" t="s">
        <v>103</v>
      </c>
      <c r="D30" s="5">
        <v>60</v>
      </c>
      <c r="E30" s="5">
        <v>30</v>
      </c>
      <c r="F30" s="5" t="s">
        <v>31</v>
      </c>
    </row>
    <row r="31" spans="1:6" ht="15.75" customHeight="1" x14ac:dyDescent="0.2">
      <c r="A31" s="8" t="s">
        <v>104</v>
      </c>
      <c r="B31" s="8" t="s">
        <v>105</v>
      </c>
      <c r="C31" s="8" t="s">
        <v>106</v>
      </c>
      <c r="D31" s="8">
        <v>40</v>
      </c>
      <c r="E31" s="8">
        <v>10</v>
      </c>
      <c r="F31" s="8" t="s">
        <v>35</v>
      </c>
    </row>
    <row r="32" spans="1:6" ht="15.75" customHeight="1" x14ac:dyDescent="0.2">
      <c r="A32" s="5" t="s">
        <v>107</v>
      </c>
      <c r="B32" s="5" t="s">
        <v>92</v>
      </c>
      <c r="C32" s="5" t="s">
        <v>108</v>
      </c>
      <c r="D32" s="5">
        <v>130</v>
      </c>
      <c r="E32" s="5">
        <v>5</v>
      </c>
      <c r="F32" s="5" t="s">
        <v>27</v>
      </c>
    </row>
    <row r="33" spans="1:6" ht="15.75" customHeight="1" x14ac:dyDescent="0.2">
      <c r="A33" s="8" t="s">
        <v>109</v>
      </c>
      <c r="B33" s="8" t="s">
        <v>110</v>
      </c>
      <c r="C33" s="8" t="s">
        <v>111</v>
      </c>
      <c r="D33" s="8">
        <v>50</v>
      </c>
      <c r="E33" s="8">
        <v>50</v>
      </c>
      <c r="F33" s="8" t="s">
        <v>31</v>
      </c>
    </row>
    <row r="34" spans="1:6" ht="15.75" customHeight="1" x14ac:dyDescent="0.2">
      <c r="A34" s="5" t="s">
        <v>59</v>
      </c>
      <c r="B34" s="5" t="s">
        <v>60</v>
      </c>
      <c r="C34" s="5" t="s">
        <v>61</v>
      </c>
      <c r="D34" s="5">
        <v>950</v>
      </c>
      <c r="E34" s="5">
        <v>25</v>
      </c>
      <c r="F34" s="5" t="s">
        <v>27</v>
      </c>
    </row>
    <row r="35" spans="1:6" ht="15.75" customHeight="1" x14ac:dyDescent="0.2">
      <c r="A35" s="8" t="s">
        <v>112</v>
      </c>
      <c r="B35" s="8" t="s">
        <v>113</v>
      </c>
      <c r="C35" s="8" t="s">
        <v>114</v>
      </c>
      <c r="D35" s="8">
        <v>100</v>
      </c>
      <c r="E35" s="8">
        <v>20</v>
      </c>
      <c r="F35" s="8" t="s">
        <v>74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B371-CC63-4B3B-BBE8-5E220158B51D}">
  <dimension ref="A1:P1001"/>
  <sheetViews>
    <sheetView tabSelected="1" topLeftCell="D1" workbookViewId="0">
      <selection activeCell="K2" sqref="K2"/>
    </sheetView>
  </sheetViews>
  <sheetFormatPr defaultColWidth="12.5703125" defaultRowHeight="12.75" x14ac:dyDescent="0.2"/>
  <cols>
    <col min="3" max="3" width="24.7109375" customWidth="1"/>
    <col min="4" max="4" width="18.85546875" customWidth="1"/>
    <col min="7" max="7" width="14.85546875" customWidth="1"/>
    <col min="8" max="8" width="19.7109375" customWidth="1"/>
    <col min="9" max="9" width="16.85546875" style="10" customWidth="1"/>
    <col min="10" max="10" width="22.85546875" bestFit="1" customWidth="1"/>
    <col min="11" max="11" width="21.28515625" customWidth="1"/>
  </cols>
  <sheetData>
    <row r="1" spans="1:16" ht="15.75" customHeight="1" x14ac:dyDescent="0.2">
      <c r="A1" s="7" t="s">
        <v>18</v>
      </c>
      <c r="B1" s="7" t="s">
        <v>19</v>
      </c>
      <c r="C1" s="7" t="s">
        <v>20</v>
      </c>
      <c r="D1" s="13" t="s">
        <v>21</v>
      </c>
      <c r="E1" s="7" t="s">
        <v>22</v>
      </c>
      <c r="F1" s="7" t="s">
        <v>23</v>
      </c>
      <c r="G1" s="7" t="s">
        <v>19</v>
      </c>
      <c r="H1" s="7" t="s">
        <v>157</v>
      </c>
      <c r="I1" s="11" t="s">
        <v>120</v>
      </c>
      <c r="J1" s="7" t="s">
        <v>136</v>
      </c>
      <c r="K1" s="7" t="s">
        <v>158</v>
      </c>
    </row>
    <row r="2" spans="1:16" ht="15.75" customHeight="1" x14ac:dyDescent="0.2">
      <c r="A2" s="16" t="s">
        <v>24</v>
      </c>
      <c r="B2" s="5" t="s">
        <v>25</v>
      </c>
      <c r="C2" s="5" t="s">
        <v>26</v>
      </c>
      <c r="D2" s="14">
        <v>1000</v>
      </c>
      <c r="E2" s="5">
        <v>30</v>
      </c>
      <c r="F2" s="5" t="s">
        <v>27</v>
      </c>
      <c r="G2" t="str" cm="1">
        <f t="array" ref="G2:G32">PROPER(B2:B32)</f>
        <v>Laptop</v>
      </c>
      <c r="H2" s="18">
        <v>28</v>
      </c>
      <c r="I2" s="12" t="s">
        <v>123</v>
      </c>
      <c r="J2" t="str">
        <f>_xlfn.CONCAT(G2," - ",C2)</f>
        <v>Laptop - Dell</v>
      </c>
      <c r="K2" s="20">
        <f>DATEVALUE(LEFT(A2,6)&amp;"-2026")</f>
        <v>46050</v>
      </c>
    </row>
    <row r="3" spans="1:16" ht="15.75" customHeight="1" x14ac:dyDescent="0.2">
      <c r="A3" s="17" t="s">
        <v>28</v>
      </c>
      <c r="B3" s="8" t="s">
        <v>29</v>
      </c>
      <c r="C3" s="8" t="s">
        <v>30</v>
      </c>
      <c r="D3" s="15">
        <v>80</v>
      </c>
      <c r="E3" s="8">
        <v>15</v>
      </c>
      <c r="F3" s="8" t="s">
        <v>31</v>
      </c>
      <c r="G3" t="str">
        <v>Sneakers</v>
      </c>
      <c r="H3" s="18">
        <v>15</v>
      </c>
      <c r="I3" s="12" t="s">
        <v>123</v>
      </c>
      <c r="J3" t="str">
        <f t="shared" ref="J3:J32" si="0">_xlfn.CONCAT(G3," - ",C3)</f>
        <v>Sneakers - Nike</v>
      </c>
      <c r="K3" s="20">
        <f t="shared" ref="K3:K32" si="1">DATEVALUE(LEFT(A3,6)&amp;"-2026")</f>
        <v>46068</v>
      </c>
      <c r="L3" s="5"/>
      <c r="M3" s="5"/>
      <c r="N3" s="5"/>
      <c r="O3" s="5"/>
      <c r="P3" s="5"/>
    </row>
    <row r="4" spans="1:16" ht="15.75" customHeight="1" x14ac:dyDescent="0.2">
      <c r="A4" s="16" t="s">
        <v>32</v>
      </c>
      <c r="B4" s="5" t="s">
        <v>33</v>
      </c>
      <c r="C4" s="5" t="s">
        <v>34</v>
      </c>
      <c r="D4" s="14">
        <v>130</v>
      </c>
      <c r="E4" s="5">
        <v>40</v>
      </c>
      <c r="F4" s="5" t="s">
        <v>35</v>
      </c>
      <c r="G4" t="str">
        <v>Coffee Maker</v>
      </c>
      <c r="H4" s="18">
        <v>3</v>
      </c>
      <c r="I4" s="12" t="s">
        <v>123</v>
      </c>
      <c r="J4" t="str">
        <f t="shared" si="0"/>
        <v>Coffee Maker - Keurig</v>
      </c>
      <c r="K4" s="20">
        <f t="shared" si="1"/>
        <v>46084</v>
      </c>
      <c r="L4" s="5"/>
      <c r="M4" s="5"/>
      <c r="N4" s="5"/>
      <c r="O4" s="5"/>
      <c r="P4" s="5"/>
    </row>
    <row r="5" spans="1:16" ht="15.75" customHeight="1" x14ac:dyDescent="0.2">
      <c r="A5" s="17" t="s">
        <v>36</v>
      </c>
      <c r="B5" s="8" t="s">
        <v>37</v>
      </c>
      <c r="C5" s="8" t="s">
        <v>38</v>
      </c>
      <c r="D5" s="15">
        <v>900</v>
      </c>
      <c r="E5" s="8">
        <v>25</v>
      </c>
      <c r="F5" s="8" t="s">
        <v>27</v>
      </c>
      <c r="G5" t="str">
        <v>Smartphone</v>
      </c>
      <c r="H5" s="18">
        <v>11</v>
      </c>
      <c r="I5" s="12" t="s">
        <v>123</v>
      </c>
      <c r="J5" t="str">
        <f t="shared" si="0"/>
        <v>Smartphone - Samsung</v>
      </c>
      <c r="K5" s="20">
        <f t="shared" si="1"/>
        <v>46123</v>
      </c>
      <c r="L5" s="5"/>
      <c r="M5" s="5"/>
      <c r="N5" s="5"/>
      <c r="O5" s="5"/>
      <c r="P5" s="5"/>
    </row>
    <row r="6" spans="1:16" ht="15.75" customHeight="1" x14ac:dyDescent="0.2">
      <c r="A6" s="16" t="s">
        <v>39</v>
      </c>
      <c r="B6" s="5" t="s">
        <v>40</v>
      </c>
      <c r="C6" s="5" t="s">
        <v>41</v>
      </c>
      <c r="D6" s="14">
        <v>70</v>
      </c>
      <c r="E6" s="5">
        <v>20</v>
      </c>
      <c r="F6" s="5" t="s">
        <v>115</v>
      </c>
      <c r="G6" t="str">
        <v>Backpack</v>
      </c>
      <c r="H6" s="18">
        <v>22</v>
      </c>
      <c r="I6" s="12" t="s">
        <v>123</v>
      </c>
      <c r="J6" t="str">
        <f t="shared" si="0"/>
        <v>Backpack - North Face</v>
      </c>
      <c r="K6" s="20">
        <f t="shared" si="1"/>
        <v>46164</v>
      </c>
    </row>
    <row r="7" spans="1:16" ht="15.75" customHeight="1" x14ac:dyDescent="0.2">
      <c r="A7" s="17" t="s">
        <v>42</v>
      </c>
      <c r="B7" s="8" t="s">
        <v>43</v>
      </c>
      <c r="C7" s="8" t="s">
        <v>44</v>
      </c>
      <c r="D7" s="15">
        <v>130</v>
      </c>
      <c r="E7" s="8">
        <v>45</v>
      </c>
      <c r="F7" s="8" t="s">
        <v>27</v>
      </c>
      <c r="G7" t="str">
        <v>Headphones</v>
      </c>
      <c r="H7" s="18">
        <v>7</v>
      </c>
      <c r="I7" s="12" t="s">
        <v>124</v>
      </c>
      <c r="J7" t="str">
        <f t="shared" si="0"/>
        <v>Headphones - Sony</v>
      </c>
      <c r="K7" s="20">
        <f t="shared" si="1"/>
        <v>46180</v>
      </c>
    </row>
    <row r="8" spans="1:16" ht="15.75" customHeight="1" x14ac:dyDescent="0.2">
      <c r="A8" s="16" t="s">
        <v>46</v>
      </c>
      <c r="B8" s="5" t="s">
        <v>47</v>
      </c>
      <c r="C8" s="5" t="s">
        <v>48</v>
      </c>
      <c r="D8" s="14">
        <v>30</v>
      </c>
      <c r="E8" s="5">
        <v>5</v>
      </c>
      <c r="F8" s="5" t="s">
        <v>31</v>
      </c>
      <c r="G8" t="str">
        <v>T-Shirt</v>
      </c>
      <c r="H8" s="18">
        <v>19</v>
      </c>
      <c r="I8" s="12" t="s">
        <v>124</v>
      </c>
      <c r="J8" t="str">
        <f t="shared" si="0"/>
        <v>T-Shirt - Adidas</v>
      </c>
      <c r="K8" s="20">
        <f t="shared" si="1"/>
        <v>46222</v>
      </c>
    </row>
    <row r="9" spans="1:16" ht="15.75" customHeight="1" x14ac:dyDescent="0.2">
      <c r="A9" s="17" t="s">
        <v>49</v>
      </c>
      <c r="B9" s="8" t="s">
        <v>50</v>
      </c>
      <c r="C9" s="8" t="s">
        <v>51</v>
      </c>
      <c r="D9" s="15">
        <v>90</v>
      </c>
      <c r="E9" s="8">
        <v>35</v>
      </c>
      <c r="F9" s="8" t="s">
        <v>35</v>
      </c>
      <c r="G9" t="str">
        <v>Blender</v>
      </c>
      <c r="H9" s="18">
        <v>23</v>
      </c>
      <c r="I9" s="12" t="s">
        <v>124</v>
      </c>
      <c r="J9" t="str">
        <f t="shared" si="0"/>
        <v>Blender - Ninja</v>
      </c>
      <c r="K9" s="20">
        <f t="shared" si="1"/>
        <v>46257</v>
      </c>
    </row>
    <row r="10" spans="1:16" ht="15.75" customHeight="1" x14ac:dyDescent="0.2">
      <c r="A10" s="16" t="s">
        <v>52</v>
      </c>
      <c r="B10" s="5" t="s">
        <v>53</v>
      </c>
      <c r="C10" s="5" t="s">
        <v>54</v>
      </c>
      <c r="D10" s="14">
        <v>500</v>
      </c>
      <c r="E10" s="5">
        <v>50</v>
      </c>
      <c r="F10" s="5" t="s">
        <v>27</v>
      </c>
      <c r="G10" t="str">
        <v>Tablet</v>
      </c>
      <c r="H10" s="18">
        <v>5</v>
      </c>
      <c r="I10" s="12" t="s">
        <v>124</v>
      </c>
      <c r="J10" t="str">
        <f t="shared" si="0"/>
        <v>Tablet - Apple</v>
      </c>
      <c r="K10" s="20">
        <f t="shared" si="1"/>
        <v>46270</v>
      </c>
    </row>
    <row r="11" spans="1:16" ht="15.75" customHeight="1" x14ac:dyDescent="0.2">
      <c r="A11" s="17" t="s">
        <v>55</v>
      </c>
      <c r="B11" s="8" t="s">
        <v>56</v>
      </c>
      <c r="C11" s="8" t="s">
        <v>57</v>
      </c>
      <c r="D11" s="15">
        <v>130</v>
      </c>
      <c r="E11" s="8">
        <v>10</v>
      </c>
      <c r="F11" s="8" t="s">
        <v>58</v>
      </c>
      <c r="G11" t="str">
        <v>Hiking Boots</v>
      </c>
      <c r="H11" s="18">
        <v>14</v>
      </c>
      <c r="I11" s="12" t="s">
        <v>124</v>
      </c>
      <c r="J11" t="str">
        <f t="shared" si="0"/>
        <v>Hiking Boots - Timberland</v>
      </c>
      <c r="K11" s="20">
        <f t="shared" si="1"/>
        <v>46309</v>
      </c>
    </row>
    <row r="12" spans="1:16" ht="15.75" customHeight="1" x14ac:dyDescent="0.2">
      <c r="A12" s="16" t="s">
        <v>59</v>
      </c>
      <c r="B12" s="5" t="s">
        <v>60</v>
      </c>
      <c r="C12" s="5" t="s">
        <v>61</v>
      </c>
      <c r="D12" s="14">
        <v>950</v>
      </c>
      <c r="E12" s="5">
        <v>25</v>
      </c>
      <c r="F12" s="5" t="s">
        <v>27</v>
      </c>
      <c r="G12" t="str">
        <v>Laptop</v>
      </c>
      <c r="H12" s="18">
        <v>17</v>
      </c>
      <c r="I12" s="12" t="s">
        <v>125</v>
      </c>
      <c r="J12" t="str">
        <f t="shared" si="0"/>
        <v>Laptop - HP</v>
      </c>
      <c r="K12" s="20">
        <f t="shared" si="1"/>
        <v>46190</v>
      </c>
    </row>
    <row r="13" spans="1:16" ht="15.75" customHeight="1" x14ac:dyDescent="0.2">
      <c r="A13" s="17" t="s">
        <v>62</v>
      </c>
      <c r="B13" s="8" t="s">
        <v>29</v>
      </c>
      <c r="C13" s="8" t="s">
        <v>48</v>
      </c>
      <c r="D13" s="15">
        <v>90</v>
      </c>
      <c r="E13" s="8">
        <v>40</v>
      </c>
      <c r="F13" s="8" t="s">
        <v>115</v>
      </c>
      <c r="G13" t="str">
        <v>Sneakers</v>
      </c>
      <c r="H13" s="18">
        <v>25</v>
      </c>
      <c r="I13" s="12" t="s">
        <v>126</v>
      </c>
      <c r="J13" t="str">
        <f t="shared" si="0"/>
        <v>Sneakers - Adidas</v>
      </c>
      <c r="K13" s="20">
        <f t="shared" si="1"/>
        <v>46351</v>
      </c>
    </row>
    <row r="14" spans="1:16" ht="15.75" customHeight="1" x14ac:dyDescent="0.2">
      <c r="A14" s="16" t="s">
        <v>63</v>
      </c>
      <c r="B14" s="5" t="s">
        <v>33</v>
      </c>
      <c r="C14" s="5" t="s">
        <v>64</v>
      </c>
      <c r="D14" s="14">
        <v>120</v>
      </c>
      <c r="E14" s="5">
        <v>35</v>
      </c>
      <c r="F14" s="5" t="s">
        <v>115</v>
      </c>
      <c r="G14" t="str">
        <v>Coffee Maker</v>
      </c>
      <c r="H14" s="18">
        <v>8</v>
      </c>
      <c r="I14" s="12" t="s">
        <v>127</v>
      </c>
      <c r="J14" t="str">
        <f t="shared" si="0"/>
        <v>Coffee Maker - Nespresso</v>
      </c>
      <c r="K14" s="20">
        <f t="shared" si="1"/>
        <v>46364</v>
      </c>
    </row>
    <row r="15" spans="1:16" ht="15.75" customHeight="1" x14ac:dyDescent="0.2">
      <c r="A15" s="17" t="s">
        <v>65</v>
      </c>
      <c r="B15" s="8" t="s">
        <v>66</v>
      </c>
      <c r="C15" s="8" t="s">
        <v>67</v>
      </c>
      <c r="D15" s="15">
        <v>150</v>
      </c>
      <c r="E15" s="8">
        <v>15</v>
      </c>
      <c r="F15" s="8" t="s">
        <v>27</v>
      </c>
      <c r="G15" t="str">
        <v>Smartwatch</v>
      </c>
      <c r="H15" s="18">
        <v>18</v>
      </c>
      <c r="I15" s="12" t="s">
        <v>128</v>
      </c>
      <c r="J15" t="str">
        <f t="shared" si="0"/>
        <v>Smartwatch - Fitbit</v>
      </c>
      <c r="K15" s="20">
        <f t="shared" si="1"/>
        <v>46071</v>
      </c>
    </row>
    <row r="16" spans="1:16" ht="15.75" customHeight="1" x14ac:dyDescent="0.2">
      <c r="A16" s="16" t="s">
        <v>68</v>
      </c>
      <c r="B16" s="5" t="s">
        <v>69</v>
      </c>
      <c r="C16" s="5" t="s">
        <v>70</v>
      </c>
      <c r="D16" s="14">
        <v>250</v>
      </c>
      <c r="E16" s="5">
        <v>20</v>
      </c>
      <c r="F16" s="5" t="s">
        <v>27</v>
      </c>
      <c r="G16" t="str">
        <v>Headphones</v>
      </c>
      <c r="H16" s="18">
        <v>16</v>
      </c>
      <c r="I16" s="12" t="s">
        <v>129</v>
      </c>
      <c r="J16" t="str">
        <f t="shared" si="0"/>
        <v>Headphones - Bose</v>
      </c>
      <c r="K16" s="20">
        <f t="shared" si="1"/>
        <v>46128</v>
      </c>
    </row>
    <row r="17" spans="1:11" ht="15.75" customHeight="1" x14ac:dyDescent="0.2">
      <c r="A17" s="17" t="s">
        <v>71</v>
      </c>
      <c r="B17" s="8" t="s">
        <v>72</v>
      </c>
      <c r="C17" s="8" t="s">
        <v>73</v>
      </c>
      <c r="D17" s="15">
        <v>50</v>
      </c>
      <c r="E17" s="8">
        <v>35</v>
      </c>
      <c r="F17" s="8" t="s">
        <v>74</v>
      </c>
      <c r="G17" t="str">
        <v>Laptop Bag</v>
      </c>
      <c r="H17" s="18">
        <v>21</v>
      </c>
      <c r="I17" s="12" t="s">
        <v>128</v>
      </c>
      <c r="J17" t="str">
        <f t="shared" si="0"/>
        <v>Laptop Bag - Samsonite</v>
      </c>
      <c r="K17" s="20">
        <f t="shared" si="1"/>
        <v>46255</v>
      </c>
    </row>
    <row r="18" spans="1:11" ht="15.75" customHeight="1" x14ac:dyDescent="0.2">
      <c r="A18" s="16" t="s">
        <v>75</v>
      </c>
      <c r="B18" s="5" t="s">
        <v>66</v>
      </c>
      <c r="C18" s="5" t="s">
        <v>76</v>
      </c>
      <c r="D18" s="14">
        <v>160</v>
      </c>
      <c r="E18" s="5">
        <v>15</v>
      </c>
      <c r="F18" s="5" t="s">
        <v>27</v>
      </c>
      <c r="G18" t="str">
        <v>Smartwatch</v>
      </c>
      <c r="H18" s="18">
        <v>20</v>
      </c>
      <c r="I18" s="12" t="s">
        <v>130</v>
      </c>
      <c r="J18" t="str">
        <f t="shared" si="0"/>
        <v>Smartwatch - Huawei</v>
      </c>
      <c r="K18" s="20">
        <f t="shared" si="1"/>
        <v>46254</v>
      </c>
    </row>
    <row r="19" spans="1:11" ht="15.75" customHeight="1" x14ac:dyDescent="0.2">
      <c r="A19" s="17" t="s">
        <v>77</v>
      </c>
      <c r="B19" s="8" t="s">
        <v>25</v>
      </c>
      <c r="C19" s="8" t="s">
        <v>78</v>
      </c>
      <c r="D19" s="15">
        <v>980</v>
      </c>
      <c r="E19" s="8">
        <v>10</v>
      </c>
      <c r="F19" s="8" t="s">
        <v>27</v>
      </c>
      <c r="G19" t="str">
        <v>Laptop</v>
      </c>
      <c r="H19" s="18">
        <v>27</v>
      </c>
      <c r="I19" s="12" t="s">
        <v>131</v>
      </c>
      <c r="J19" t="str">
        <f t="shared" si="0"/>
        <v>Laptop - Asus</v>
      </c>
      <c r="K19" s="20">
        <f t="shared" si="1"/>
        <v>46049</v>
      </c>
    </row>
    <row r="20" spans="1:11" ht="15.75" customHeight="1" x14ac:dyDescent="0.2">
      <c r="A20" s="16" t="s">
        <v>79</v>
      </c>
      <c r="B20" s="5" t="s">
        <v>80</v>
      </c>
      <c r="C20" s="5" t="s">
        <v>81</v>
      </c>
      <c r="D20" s="14">
        <v>150</v>
      </c>
      <c r="E20" s="5">
        <v>15</v>
      </c>
      <c r="F20" s="5" t="s">
        <v>31</v>
      </c>
      <c r="G20" t="str">
        <v>Sunglasses</v>
      </c>
      <c r="H20" s="18">
        <v>1</v>
      </c>
      <c r="I20" s="12" t="s">
        <v>124</v>
      </c>
      <c r="J20" t="str">
        <f t="shared" si="0"/>
        <v>Sunglasses - Oakley</v>
      </c>
      <c r="K20" s="20">
        <f t="shared" si="1"/>
        <v>46082</v>
      </c>
    </row>
    <row r="21" spans="1:11" ht="15.75" customHeight="1" x14ac:dyDescent="0.2">
      <c r="A21" s="17" t="s">
        <v>82</v>
      </c>
      <c r="B21" s="8" t="s">
        <v>83</v>
      </c>
      <c r="C21" s="8" t="s">
        <v>84</v>
      </c>
      <c r="D21" s="15">
        <v>130</v>
      </c>
      <c r="E21" s="8">
        <v>10</v>
      </c>
      <c r="F21" s="8" t="s">
        <v>58</v>
      </c>
      <c r="G21" t="str">
        <v>Camping Tent</v>
      </c>
      <c r="H21" s="18">
        <v>14</v>
      </c>
      <c r="I21" s="12" t="s">
        <v>123</v>
      </c>
      <c r="J21" t="str">
        <f t="shared" si="0"/>
        <v>Camping Tent - Coleman</v>
      </c>
      <c r="K21" s="20">
        <f t="shared" si="1"/>
        <v>46248</v>
      </c>
    </row>
    <row r="22" spans="1:11" ht="15.75" customHeight="1" x14ac:dyDescent="0.2">
      <c r="A22" s="16" t="s">
        <v>85</v>
      </c>
      <c r="B22" s="5" t="s">
        <v>86</v>
      </c>
      <c r="C22" s="5" t="s">
        <v>87</v>
      </c>
      <c r="D22" s="14">
        <v>700</v>
      </c>
      <c r="E22" s="5">
        <v>50</v>
      </c>
      <c r="F22" s="5" t="s">
        <v>27</v>
      </c>
      <c r="G22" t="str">
        <v>Camera</v>
      </c>
      <c r="H22" s="18">
        <v>14</v>
      </c>
      <c r="I22" s="12" t="s">
        <v>132</v>
      </c>
      <c r="J22" t="str">
        <f t="shared" si="0"/>
        <v>Camera - Nikon</v>
      </c>
      <c r="K22" s="20">
        <f t="shared" si="1"/>
        <v>46156</v>
      </c>
    </row>
    <row r="23" spans="1:11" ht="15.75" customHeight="1" x14ac:dyDescent="0.2">
      <c r="A23" s="17" t="s">
        <v>88</v>
      </c>
      <c r="B23" s="8" t="s">
        <v>89</v>
      </c>
      <c r="C23" s="8" t="s">
        <v>90</v>
      </c>
      <c r="D23" s="15">
        <v>80</v>
      </c>
      <c r="E23" s="8">
        <v>20</v>
      </c>
      <c r="F23" s="8" t="s">
        <v>35</v>
      </c>
      <c r="G23" t="str">
        <v>Microwave</v>
      </c>
      <c r="H23" s="18">
        <v>9</v>
      </c>
      <c r="I23" s="12" t="s">
        <v>128</v>
      </c>
      <c r="J23" t="str">
        <f t="shared" si="0"/>
        <v>Microwave - Panasonic</v>
      </c>
      <c r="K23" s="20">
        <f t="shared" si="1"/>
        <v>46031</v>
      </c>
    </row>
    <row r="24" spans="1:11" ht="15.75" customHeight="1" x14ac:dyDescent="0.2">
      <c r="A24" s="16" t="s">
        <v>91</v>
      </c>
      <c r="B24" s="5" t="s">
        <v>92</v>
      </c>
      <c r="C24" s="5" t="s">
        <v>93</v>
      </c>
      <c r="D24" s="14">
        <v>150</v>
      </c>
      <c r="E24" s="5">
        <v>30</v>
      </c>
      <c r="F24" s="5" t="s">
        <v>115</v>
      </c>
      <c r="G24" t="str">
        <v>Fitness Tracker</v>
      </c>
      <c r="H24" s="18">
        <v>19</v>
      </c>
      <c r="I24" s="12" t="s">
        <v>133</v>
      </c>
      <c r="J24" t="str">
        <f t="shared" si="0"/>
        <v>Fitness Tracker - Xiaomi</v>
      </c>
      <c r="K24" s="20">
        <f t="shared" si="1"/>
        <v>46222</v>
      </c>
    </row>
    <row r="25" spans="1:11" ht="15.75" customHeight="1" x14ac:dyDescent="0.2">
      <c r="A25" s="16" t="s">
        <v>94</v>
      </c>
      <c r="B25" s="5" t="s">
        <v>95</v>
      </c>
      <c r="C25" s="5" t="s">
        <v>96</v>
      </c>
      <c r="D25" s="14">
        <v>800</v>
      </c>
      <c r="E25" s="5">
        <v>45</v>
      </c>
      <c r="F25" s="5" t="s">
        <v>27</v>
      </c>
      <c r="G25" t="str">
        <v>Smartphone</v>
      </c>
      <c r="H25" s="18">
        <v>29</v>
      </c>
      <c r="I25" s="12" t="s">
        <v>128</v>
      </c>
      <c r="J25" t="str">
        <f t="shared" si="0"/>
        <v>Smartphone - Google</v>
      </c>
      <c r="K25" s="20">
        <f t="shared" si="1"/>
        <v>46294</v>
      </c>
    </row>
    <row r="26" spans="1:11" ht="15.75" customHeight="1" x14ac:dyDescent="0.2">
      <c r="A26" s="17" t="s">
        <v>97</v>
      </c>
      <c r="B26" s="8" t="s">
        <v>80</v>
      </c>
      <c r="C26" s="8" t="s">
        <v>98</v>
      </c>
      <c r="D26" s="15">
        <v>130</v>
      </c>
      <c r="E26" s="8">
        <v>25</v>
      </c>
      <c r="F26" s="8" t="s">
        <v>31</v>
      </c>
      <c r="G26" t="str">
        <v>Sunglasses</v>
      </c>
      <c r="H26" s="18">
        <v>3</v>
      </c>
      <c r="I26" s="12" t="s">
        <v>128</v>
      </c>
      <c r="J26" t="str">
        <f t="shared" si="0"/>
        <v>Sunglasses - Ray-Ban</v>
      </c>
      <c r="K26" s="20">
        <f t="shared" si="1"/>
        <v>46176</v>
      </c>
    </row>
    <row r="27" spans="1:11" ht="15.75" customHeight="1" x14ac:dyDescent="0.2">
      <c r="A27" s="16" t="s">
        <v>99</v>
      </c>
      <c r="B27" s="5" t="s">
        <v>50</v>
      </c>
      <c r="C27" s="5" t="s">
        <v>100</v>
      </c>
      <c r="D27" s="14">
        <v>400</v>
      </c>
      <c r="E27" s="5">
        <v>40</v>
      </c>
      <c r="F27" s="5" t="s">
        <v>35</v>
      </c>
      <c r="G27" t="str">
        <v>Blender</v>
      </c>
      <c r="H27" s="18">
        <v>11</v>
      </c>
      <c r="I27" s="12" t="s">
        <v>128</v>
      </c>
      <c r="J27" t="str">
        <f t="shared" si="0"/>
        <v>Blender - Vitamix</v>
      </c>
      <c r="K27" s="20">
        <f t="shared" si="1"/>
        <v>46214</v>
      </c>
    </row>
    <row r="28" spans="1:11" ht="15.75" customHeight="1" x14ac:dyDescent="0.2">
      <c r="A28" s="16" t="s">
        <v>101</v>
      </c>
      <c r="B28" s="5" t="s">
        <v>102</v>
      </c>
      <c r="C28" s="5" t="s">
        <v>103</v>
      </c>
      <c r="D28" s="14">
        <v>60</v>
      </c>
      <c r="E28" s="5">
        <v>30</v>
      </c>
      <c r="F28" s="5" t="s">
        <v>31</v>
      </c>
      <c r="G28" t="str">
        <v>Dress</v>
      </c>
      <c r="H28" s="18">
        <v>7</v>
      </c>
      <c r="I28" s="12" t="s">
        <v>128</v>
      </c>
      <c r="J28" t="str">
        <f t="shared" si="0"/>
        <v>Dress - Zara</v>
      </c>
      <c r="K28" s="20">
        <f t="shared" si="1"/>
        <v>46088</v>
      </c>
    </row>
    <row r="29" spans="1:11" ht="15.75" customHeight="1" x14ac:dyDescent="0.2">
      <c r="A29" s="17" t="s">
        <v>104</v>
      </c>
      <c r="B29" s="8" t="s">
        <v>105</v>
      </c>
      <c r="C29" s="8" t="s">
        <v>106</v>
      </c>
      <c r="D29" s="15">
        <v>40</v>
      </c>
      <c r="E29" s="8">
        <v>10</v>
      </c>
      <c r="F29" s="8" t="s">
        <v>35</v>
      </c>
      <c r="G29" t="str">
        <v>Toaster</v>
      </c>
      <c r="H29" s="18">
        <v>13</v>
      </c>
      <c r="I29" s="12" t="s">
        <v>128</v>
      </c>
      <c r="J29" t="str">
        <f t="shared" si="0"/>
        <v>Toaster - Hamilton</v>
      </c>
      <c r="K29" s="20">
        <f t="shared" si="1"/>
        <v>46125</v>
      </c>
    </row>
    <row r="30" spans="1:11" ht="15.75" customHeight="1" x14ac:dyDescent="0.2">
      <c r="A30" s="16" t="s">
        <v>107</v>
      </c>
      <c r="B30" s="5" t="s">
        <v>92</v>
      </c>
      <c r="C30" s="5" t="s">
        <v>108</v>
      </c>
      <c r="D30" s="14">
        <v>130</v>
      </c>
      <c r="E30" s="5">
        <v>5</v>
      </c>
      <c r="F30" s="5" t="s">
        <v>27</v>
      </c>
      <c r="G30" t="str">
        <v>Fitness Tracker</v>
      </c>
      <c r="H30" s="18">
        <v>24</v>
      </c>
      <c r="I30" s="12" t="s">
        <v>128</v>
      </c>
      <c r="J30" t="str">
        <f t="shared" si="0"/>
        <v>Fitness Tracker - Garmin</v>
      </c>
      <c r="K30" s="20">
        <f t="shared" si="1"/>
        <v>46166</v>
      </c>
    </row>
    <row r="31" spans="1:11" ht="15.75" customHeight="1" x14ac:dyDescent="0.2">
      <c r="A31" s="17" t="s">
        <v>109</v>
      </c>
      <c r="B31" s="8" t="s">
        <v>110</v>
      </c>
      <c r="C31" s="8" t="s">
        <v>111</v>
      </c>
      <c r="D31" s="15">
        <v>50</v>
      </c>
      <c r="E31" s="8">
        <v>50</v>
      </c>
      <c r="F31" s="8" t="s">
        <v>31</v>
      </c>
      <c r="G31" t="str">
        <v>Jeans</v>
      </c>
      <c r="H31" s="18">
        <v>2</v>
      </c>
      <c r="I31" s="12" t="s">
        <v>128</v>
      </c>
      <c r="J31" t="str">
        <f t="shared" si="0"/>
        <v>Jeans - Levi's</v>
      </c>
      <c r="K31" s="20">
        <f t="shared" si="1"/>
        <v>46358</v>
      </c>
    </row>
    <row r="32" spans="1:11" ht="15.75" customHeight="1" x14ac:dyDescent="0.2">
      <c r="A32" s="17" t="s">
        <v>112</v>
      </c>
      <c r="B32" s="8" t="s">
        <v>113</v>
      </c>
      <c r="C32" s="8" t="s">
        <v>114</v>
      </c>
      <c r="D32" s="15">
        <v>100</v>
      </c>
      <c r="E32" s="8">
        <v>20</v>
      </c>
      <c r="F32" s="8" t="s">
        <v>74</v>
      </c>
      <c r="G32" t="str">
        <v>Watch</v>
      </c>
      <c r="H32" s="18">
        <v>9</v>
      </c>
      <c r="I32" s="12" t="s">
        <v>134</v>
      </c>
      <c r="J32" t="str">
        <f t="shared" si="0"/>
        <v>Watch - Casio</v>
      </c>
      <c r="K32" s="20">
        <f t="shared" si="1"/>
        <v>46212</v>
      </c>
    </row>
    <row r="33" spans="1:5" ht="15.75" customHeight="1" x14ac:dyDescent="0.2"/>
    <row r="34" spans="1:5" ht="15.75" customHeight="1" x14ac:dyDescent="0.2"/>
    <row r="35" spans="1:5" ht="15.75" customHeight="1" x14ac:dyDescent="0.2">
      <c r="A35" s="19" t="s">
        <v>141</v>
      </c>
      <c r="E35" s="19" t="s">
        <v>142</v>
      </c>
    </row>
    <row r="36" spans="1:5" ht="15.75" customHeight="1" x14ac:dyDescent="0.2">
      <c r="A36">
        <v>1</v>
      </c>
      <c r="B36" s="9" t="s">
        <v>116</v>
      </c>
      <c r="D36">
        <v>1</v>
      </c>
      <c r="E36" s="9" t="s">
        <v>151</v>
      </c>
    </row>
    <row r="37" spans="1:5" ht="15.75" customHeight="1" x14ac:dyDescent="0.2">
      <c r="B37" s="9"/>
      <c r="D37">
        <v>2</v>
      </c>
      <c r="E37" s="9" t="s">
        <v>153</v>
      </c>
    </row>
    <row r="38" spans="1:5" ht="15.75" customHeight="1" x14ac:dyDescent="0.2">
      <c r="A38">
        <v>2</v>
      </c>
      <c r="B38" s="9" t="s">
        <v>118</v>
      </c>
      <c r="D38">
        <v>1</v>
      </c>
      <c r="E38" s="9" t="s">
        <v>155</v>
      </c>
    </row>
    <row r="39" spans="1:5" ht="15.75" customHeight="1" x14ac:dyDescent="0.2">
      <c r="B39" s="9" t="s">
        <v>117</v>
      </c>
      <c r="D39">
        <v>1</v>
      </c>
      <c r="E39" s="9" t="s">
        <v>152</v>
      </c>
    </row>
    <row r="40" spans="1:5" ht="15.75" customHeight="1" x14ac:dyDescent="0.2">
      <c r="A40">
        <v>3</v>
      </c>
      <c r="B40" t="s">
        <v>119</v>
      </c>
      <c r="D40">
        <v>1</v>
      </c>
      <c r="E40" s="9" t="s">
        <v>156</v>
      </c>
    </row>
    <row r="41" spans="1:5" ht="15.75" customHeight="1" x14ac:dyDescent="0.2">
      <c r="A41">
        <v>4</v>
      </c>
      <c r="B41" s="9" t="s">
        <v>135</v>
      </c>
    </row>
    <row r="42" spans="1:5" ht="15.75" customHeight="1" x14ac:dyDescent="0.2">
      <c r="B42" s="9"/>
      <c r="C42" s="9" t="s">
        <v>137</v>
      </c>
      <c r="D42">
        <v>1</v>
      </c>
      <c r="E42" s="9" t="s">
        <v>145</v>
      </c>
    </row>
    <row r="43" spans="1:5" ht="15.75" customHeight="1" x14ac:dyDescent="0.2">
      <c r="C43" s="9" t="s">
        <v>138</v>
      </c>
    </row>
    <row r="44" spans="1:5" ht="15.75" customHeight="1" x14ac:dyDescent="0.2">
      <c r="A44">
        <v>5</v>
      </c>
      <c r="B44" s="9" t="s">
        <v>122</v>
      </c>
    </row>
    <row r="45" spans="1:5" ht="15.75" customHeight="1" x14ac:dyDescent="0.2">
      <c r="C45" s="9" t="s">
        <v>159</v>
      </c>
      <c r="D45">
        <v>1</v>
      </c>
      <c r="E45" s="9" t="s">
        <v>144</v>
      </c>
    </row>
    <row r="46" spans="1:5" ht="15.75" customHeight="1" x14ac:dyDescent="0.2">
      <c r="C46" s="9" t="s">
        <v>160</v>
      </c>
    </row>
    <row r="47" spans="1:5" ht="15.75" customHeight="1" x14ac:dyDescent="0.2">
      <c r="A47">
        <v>6</v>
      </c>
      <c r="B47" s="9" t="s">
        <v>139</v>
      </c>
    </row>
    <row r="48" spans="1:5" ht="15.75" customHeight="1" x14ac:dyDescent="0.2">
      <c r="C48" s="9" t="s">
        <v>140</v>
      </c>
      <c r="D48">
        <v>1</v>
      </c>
      <c r="E48" s="9" t="s">
        <v>143</v>
      </c>
    </row>
    <row r="49" spans="1:5" ht="15.75" customHeight="1" x14ac:dyDescent="0.2">
      <c r="C49" s="9" t="s">
        <v>146</v>
      </c>
    </row>
    <row r="50" spans="1:5" ht="15.75" customHeight="1" x14ac:dyDescent="0.2">
      <c r="A50">
        <v>7</v>
      </c>
      <c r="B50" s="9" t="s">
        <v>147</v>
      </c>
    </row>
    <row r="51" spans="1:5" ht="15.75" customHeight="1" x14ac:dyDescent="0.2">
      <c r="C51" s="9" t="s">
        <v>148</v>
      </c>
      <c r="D51">
        <v>1</v>
      </c>
      <c r="E51" s="9" t="s">
        <v>149</v>
      </c>
    </row>
    <row r="52" spans="1:5" ht="15.75" customHeight="1" x14ac:dyDescent="0.2">
      <c r="C52" s="9" t="s">
        <v>154</v>
      </c>
      <c r="D52" s="9">
        <v>2</v>
      </c>
      <c r="E52" s="9" t="s">
        <v>150</v>
      </c>
    </row>
    <row r="53" spans="1:5" ht="15.75" customHeight="1" x14ac:dyDescent="0.2"/>
    <row r="54" spans="1:5" ht="15.75" customHeight="1" x14ac:dyDescent="0.2"/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conditionalFormatting sqref="D2:D3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{304770A6-5FFB-40E4-B119-C487AE49FB4A}</x14:id>
        </ext>
      </extLst>
    </cfRule>
  </conditionalFormatting>
  <conditionalFormatting sqref="F2:F32">
    <cfRule type="containsText" dxfId="1" priority="1" operator="containsText" text="Unknown">
      <formula>NOT(ISERROR(SEARCH("Unknown",F2)))</formula>
    </cfRule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4770A6-5FFB-40E4-B119-C487AE49FB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Sudhakaran</cp:lastModifiedBy>
  <dcterms:modified xsi:type="dcterms:W3CDTF">2026-10-14T15:31:02Z</dcterms:modified>
</cp:coreProperties>
</file>